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ofnebraska-my.sharepoint.com/personal/84740690_nebraska_edu/Documents/Desktop/CIVE/CIVE_202.S26/Projects/Project 4/Deliverables/"/>
    </mc:Choice>
  </mc:AlternateContent>
  <xr:revisionPtr revIDLastSave="0" documentId="8_{3ABD85BF-4269-4E52-9BFB-0C78113A45E2}" xr6:coauthVersionLast="47" xr6:coauthVersionMax="47" xr10:uidLastSave="{00000000-0000-0000-0000-000000000000}"/>
  <bookViews>
    <workbookView xWindow="-110" yWindow="-16310" windowWidth="29020" windowHeight="15700" tabRatio="500" xr2:uid="{00000000-000D-0000-FFFF-FFFF00000000}"/>
  </bookViews>
  <sheets>
    <sheet name="Project schedule" sheetId="1" r:id="rId1"/>
    <sheet name="About" sheetId="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7" i="1" l="1"/>
  <c r="I5" i="1"/>
  <c r="I6" i="1" s="1"/>
  <c r="J5" i="1" l="1"/>
  <c r="I4" i="1"/>
  <c r="J6" i="1" l="1"/>
  <c r="K5" i="1"/>
  <c r="K6" i="1" l="1"/>
  <c r="L5" i="1"/>
  <c r="L6" i="1" l="1"/>
  <c r="M5" i="1"/>
  <c r="M6" i="1" l="1"/>
  <c r="N5" i="1"/>
  <c r="N6" i="1" l="1"/>
  <c r="O5" i="1"/>
  <c r="O6" i="1" l="1"/>
  <c r="P5" i="1"/>
  <c r="P6" i="1" l="1"/>
  <c r="P4" i="1"/>
  <c r="Q5" i="1"/>
  <c r="Q6" i="1" l="1"/>
  <c r="R5" i="1"/>
  <c r="S5" i="1" l="1"/>
  <c r="R6" i="1"/>
  <c r="T5" i="1" l="1"/>
  <c r="S6" i="1"/>
  <c r="U5" i="1" l="1"/>
  <c r="T6" i="1"/>
  <c r="U6" i="1" l="1"/>
  <c r="V5" i="1"/>
  <c r="W5" i="1" l="1"/>
  <c r="V6" i="1"/>
  <c r="X5" i="1" l="1"/>
  <c r="W4" i="1"/>
  <c r="W6" i="1"/>
  <c r="Y5" i="1" l="1"/>
  <c r="X6" i="1"/>
  <c r="Y6" i="1" l="1"/>
  <c r="Z5" i="1"/>
  <c r="Z6" i="1" l="1"/>
  <c r="AA5" i="1"/>
  <c r="AA6" i="1" l="1"/>
  <c r="AB5" i="1"/>
  <c r="AB6" i="1" l="1"/>
  <c r="AC5" i="1"/>
  <c r="AC6" i="1" l="1"/>
  <c r="AD5" i="1"/>
  <c r="AD4" i="1" l="1"/>
  <c r="AE5" i="1"/>
  <c r="AD6" i="1"/>
  <c r="AE6" i="1" l="1"/>
  <c r="AF5" i="1"/>
  <c r="AF6" i="1" l="1"/>
  <c r="AG5" i="1"/>
  <c r="AG6" i="1" l="1"/>
  <c r="AH5" i="1"/>
  <c r="AI5" i="1" l="1"/>
  <c r="AH6" i="1"/>
  <c r="AJ5" i="1" l="1"/>
  <c r="AI6" i="1"/>
  <c r="AK5" i="1" l="1"/>
  <c r="AJ6" i="1"/>
  <c r="AK4" i="1" l="1"/>
  <c r="AL5" i="1"/>
  <c r="AK6" i="1"/>
  <c r="AM5" i="1" l="1"/>
  <c r="AL6" i="1"/>
  <c r="AN5" i="1" l="1"/>
  <c r="AM6" i="1"/>
  <c r="AO5" i="1" l="1"/>
  <c r="AN6" i="1"/>
  <c r="AO6" i="1" l="1"/>
  <c r="AP5" i="1"/>
  <c r="AP6" i="1" l="1"/>
  <c r="AQ5" i="1"/>
  <c r="AQ6" i="1" l="1"/>
  <c r="AR5" i="1"/>
  <c r="AR6" i="1" l="1"/>
  <c r="AS5" i="1"/>
  <c r="AR4" i="1"/>
  <c r="AS6" i="1" l="1"/>
  <c r="AT5" i="1"/>
  <c r="AT6" i="1" l="1"/>
  <c r="AU5" i="1"/>
  <c r="AU6" i="1" l="1"/>
  <c r="AV5" i="1"/>
  <c r="AV6" i="1" l="1"/>
  <c r="AW5" i="1"/>
  <c r="AW6" i="1" l="1"/>
  <c r="AX5" i="1"/>
  <c r="AY5" i="1" l="1"/>
  <c r="AX6" i="1"/>
  <c r="AY4" i="1" l="1"/>
  <c r="AZ5" i="1"/>
  <c r="AY6" i="1"/>
  <c r="BA5" i="1" l="1"/>
  <c r="AZ6" i="1"/>
  <c r="BB5" i="1" l="1"/>
  <c r="BA6" i="1"/>
  <c r="BC5" i="1" l="1"/>
  <c r="BB6" i="1"/>
  <c r="BD5" i="1" l="1"/>
  <c r="BC6" i="1"/>
  <c r="BE5" i="1" l="1"/>
  <c r="BD6" i="1"/>
  <c r="BE6" i="1" l="1"/>
  <c r="BF5" i="1"/>
  <c r="BF4" i="1" l="1"/>
  <c r="BF6" i="1"/>
  <c r="BG5" i="1"/>
  <c r="BG6" i="1" l="1"/>
  <c r="BH5" i="1"/>
  <c r="BH6" i="1" l="1"/>
  <c r="BI5" i="1"/>
  <c r="BI6" i="1" l="1"/>
  <c r="BJ5" i="1"/>
  <c r="BJ6" i="1" l="1"/>
  <c r="BK5" i="1"/>
  <c r="BK6" i="1" l="1"/>
  <c r="BL5" i="1"/>
  <c r="BL6" i="1" s="1"/>
</calcChain>
</file>

<file path=xl/sharedStrings.xml><?xml version="1.0" encoding="utf-8"?>
<sst xmlns="http://schemas.openxmlformats.org/spreadsheetml/2006/main" count="72" uniqueCount="55">
  <si>
    <t>CIVE 202 Project #4</t>
  </si>
  <si>
    <t>Project start:</t>
  </si>
  <si>
    <t>Risk Averse, LLC</t>
  </si>
  <si>
    <t>Wisconsin &amp; Iowa NRI Analysis</t>
  </si>
  <si>
    <t>Display week:</t>
  </si>
  <si>
    <t>SIMPLE GANTT CHART by Vertex42.com</t>
  </si>
  <si>
    <t>https://www.vertex42.com/ExcelTemplates/simple-gantt-chart.html</t>
  </si>
  <si>
    <t>TASK</t>
  </si>
  <si>
    <t>ASSIGNED TO</t>
  </si>
  <si>
    <t>PROGRESS</t>
  </si>
  <si>
    <t>START</t>
  </si>
  <si>
    <t>END</t>
  </si>
  <si>
    <t xml:space="preserve">Do not delete this row. This row is hidden to preserve a formula that is used to highlight the current day within the project schedule. </t>
  </si>
  <si>
    <t>Project Setup &amp; Planning</t>
  </si>
  <si>
    <t>Gantt Chart</t>
  </si>
  <si>
    <t>Levi Woockman</t>
  </si>
  <si>
    <t>Select States (Wisconsin &amp; Iowa)</t>
  </si>
  <si>
    <t>All Members</t>
  </si>
  <si>
    <t>Identify External Resources</t>
  </si>
  <si>
    <t>Brock Hoover</t>
  </si>
  <si>
    <t>Data Collection &amp; Cleaning</t>
  </si>
  <si>
    <t>Download NRI Data (WI &amp; IA)</t>
  </si>
  <si>
    <t>Download SVI Dataset</t>
  </si>
  <si>
    <t>Blake Green</t>
  </si>
  <si>
    <t>Download NRI Metadata Files</t>
  </si>
  <si>
    <t>Clean &amp; Organize Data</t>
  </si>
  <si>
    <t>Handle Missing/NA Values</t>
  </si>
  <si>
    <t>Coding &amp; Analysis</t>
  </si>
  <si>
    <t>Join NRI &amp; SVI Datasets</t>
  </si>
  <si>
    <t>Python Code - Drought Risk Summary Table</t>
  </si>
  <si>
    <t>Python Code - Lightning Risk Summary Table</t>
  </si>
  <si>
    <t>GeoPandas Map (Risk Info)</t>
  </si>
  <si>
    <t>Annotated Code Document (ACD)</t>
  </si>
  <si>
    <t>Deliverables</t>
  </si>
  <si>
    <t>Scope of Work</t>
  </si>
  <si>
    <t>Report - Methodology &amp; Risk Definition</t>
  </si>
  <si>
    <t>Report - NRI vs Proposed Comparison</t>
  </si>
  <si>
    <t>Timesheet</t>
  </si>
  <si>
    <t>GitHub Repository Setup</t>
  </si>
  <si>
    <t>Upload Data Files to GitHub</t>
  </si>
  <si>
    <t>Final Review &amp; Submission</t>
  </si>
  <si>
    <t>Insert new rows ABOVE this one</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</si>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</sst>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d/yy;@"/>
    <numFmt numFmtId="165" formatCode="ddd&quot;, &quot;m/d/yyyy"/>
    <numFmt numFmtId="166" formatCode="mmm\ d&quot;, &quot;yyyy"/>
    <numFmt numFmtId="167" formatCode="d"/>
    <numFmt numFmtId="168" formatCode="m/d"/>
  </numFmts>
  <fonts count="30" x14ac:knownFonts="1">
    <font>
      <sz val="11"/>
      <color theme="1"/>
      <name val="Arial"/>
      <family val="2"/>
      <charset val="1"/>
    </font>
    <font>
      <sz val="11"/>
      <color theme="0"/>
      <name val="Arial"/>
      <family val="2"/>
      <charset val="1"/>
    </font>
    <font>
      <b/>
      <sz val="26"/>
      <color theme="9"/>
      <name val="Arial Black"/>
      <family val="2"/>
      <charset val="1"/>
    </font>
    <font>
      <b/>
      <sz val="22"/>
      <color theme="1" tint="0.3498947111423078"/>
      <name val="Arial Black"/>
      <family val="2"/>
      <charset val="1"/>
    </font>
    <font>
      <b/>
      <sz val="20"/>
      <color theme="4" tint="-0.249977111117893"/>
      <name val="Arial"/>
      <family val="2"/>
      <charset val="1"/>
    </font>
    <font>
      <sz val="10"/>
      <name val="Arial"/>
      <family val="2"/>
      <charset val="1"/>
    </font>
    <font>
      <b/>
      <sz val="16"/>
      <color theme="9"/>
      <name val="Arial"/>
      <family val="2"/>
      <charset val="1"/>
    </font>
    <font>
      <sz val="16"/>
      <color theme="1"/>
      <name val="Arial"/>
      <family val="2"/>
      <charset val="1"/>
    </font>
    <font>
      <b/>
      <sz val="16"/>
      <color theme="9"/>
      <name val="Arial Black"/>
      <family val="2"/>
      <charset val="1"/>
    </font>
    <font>
      <sz val="14"/>
      <color theme="1"/>
      <name val="Arial"/>
      <family val="2"/>
      <charset val="1"/>
    </font>
    <font>
      <b/>
      <sz val="11"/>
      <color rgb="FF0000FF"/>
      <name val="Arial"/>
      <family val="2"/>
      <charset val="1"/>
    </font>
    <font>
      <sz val="10"/>
      <color rgb="FF0000FF"/>
      <name val="Arial"/>
      <family val="2"/>
      <charset val="1"/>
    </font>
    <font>
      <u/>
      <sz val="11"/>
      <color rgb="FF0000FF"/>
      <name val="Arial"/>
      <family val="2"/>
      <charset val="1"/>
    </font>
    <font>
      <sz val="10"/>
      <color theme="1"/>
      <name val="Arial"/>
      <family val="2"/>
      <charset val="1"/>
    </font>
    <font>
      <b/>
      <sz val="10"/>
      <color theme="1"/>
      <name val="Arial"/>
      <family val="2"/>
      <charset val="1"/>
    </font>
    <font>
      <b/>
      <sz val="8"/>
      <name val="Arial"/>
      <family val="2"/>
      <charset val="1"/>
    </font>
    <font>
      <b/>
      <sz val="8"/>
      <color theme="1"/>
      <name val="Arial"/>
      <family val="2"/>
      <charset val="1"/>
    </font>
    <font>
      <b/>
      <sz val="10"/>
      <name val="Arial"/>
      <family val="2"/>
    </font>
    <font>
      <sz val="11"/>
      <name val="Arial"/>
      <family val="2"/>
      <charset val="1"/>
    </font>
    <font>
      <sz val="10"/>
      <name val="Arial"/>
      <family val="2"/>
    </font>
    <font>
      <i/>
      <sz val="9"/>
      <color rgb="FF808080"/>
      <name val="Arial"/>
      <family val="2"/>
    </font>
    <font>
      <i/>
      <sz val="10"/>
      <color theme="1"/>
      <name val="Arial"/>
      <family val="2"/>
      <charset val="1"/>
    </font>
    <font>
      <sz val="10"/>
      <color theme="1" tint="0.49989318521683401"/>
      <name val="Arial"/>
      <family val="2"/>
      <charset val="1"/>
    </font>
    <font>
      <b/>
      <sz val="11"/>
      <color theme="1" tint="0.49989318521683401"/>
      <name val="Arial"/>
      <family val="2"/>
      <charset val="1"/>
    </font>
    <font>
      <b/>
      <sz val="12"/>
      <color theme="1" tint="0.3498947111423078"/>
      <name val="Arial"/>
      <family val="2"/>
      <charset val="1"/>
    </font>
    <font>
      <b/>
      <sz val="10"/>
      <name val="Arial"/>
      <family val="2"/>
      <charset val="1"/>
    </font>
    <font>
      <sz val="11"/>
      <color theme="1" tint="0.49989318521683401"/>
      <name val="Arial"/>
      <family val="2"/>
      <charset val="1"/>
    </font>
    <font>
      <sz val="20"/>
      <name val="Arial Black"/>
      <family val="2"/>
      <charset val="1"/>
    </font>
    <font>
      <sz val="11"/>
      <color rgb="FF1D2129"/>
      <name val="Arial"/>
      <family val="2"/>
      <charset val="1"/>
    </font>
    <font>
      <sz val="11"/>
      <color theme="1"/>
      <name val="Arial"/>
      <family val="2"/>
      <charset val="1"/>
    </font>
  </fonts>
  <fills count="12">
    <fill>
      <patternFill patternType="none"/>
    </fill>
    <fill>
      <patternFill patternType="gray125"/>
    </fill>
    <fill>
      <patternFill patternType="solid">
        <fgColor theme="0" tint="-4.9989318521683403E-2"/>
        <bgColor rgb="FFE5F4EB"/>
      </patternFill>
    </fill>
    <fill>
      <patternFill patternType="solid">
        <fgColor theme="0" tint="-0.14999847407452621"/>
        <bgColor rgb="FFE0D4FD"/>
      </patternFill>
    </fill>
    <fill>
      <patternFill patternType="solid">
        <fgColor rgb="FFBDD7EE"/>
        <bgColor rgb="FFB2DFC4"/>
      </patternFill>
    </fill>
    <fill>
      <patternFill patternType="solid">
        <fgColor theme="4" tint="0.79989013336588644"/>
        <bgColor rgb="FFD9D9D9"/>
      </patternFill>
    </fill>
    <fill>
      <patternFill patternType="solid">
        <fgColor theme="5" tint="0.59987182226020086"/>
        <bgColor rgb="FFC1A9FC"/>
      </patternFill>
    </fill>
    <fill>
      <patternFill patternType="solid">
        <fgColor theme="5" tint="0.79989013336588644"/>
        <bgColor rgb="FFE0D4FD"/>
      </patternFill>
    </fill>
    <fill>
      <patternFill patternType="solid">
        <fgColor theme="6" tint="0.59987182226020086"/>
        <bgColor rgb="FFD9D9D9"/>
      </patternFill>
    </fill>
    <fill>
      <patternFill patternType="solid">
        <fgColor theme="6" tint="0.79989013336588644"/>
        <bgColor rgb="FFF2F2F2"/>
      </patternFill>
    </fill>
    <fill>
      <patternFill patternType="solid">
        <fgColor theme="8" tint="0.59987182226020086"/>
        <bgColor rgb="FFFFF9D4"/>
      </patternFill>
    </fill>
    <fill>
      <patternFill patternType="solid">
        <fgColor theme="8" tint="0.79989013336588644"/>
        <bgColor rgb="FFF2F2F2"/>
      </patternFill>
    </fill>
  </fills>
  <borders count="20">
    <border>
      <left/>
      <right/>
      <top/>
      <bottom/>
      <diagonal/>
    </border>
    <border>
      <left/>
      <right/>
      <top style="medium">
        <color theme="0" tint="-0.14999847407452621"/>
      </top>
      <bottom style="medium">
        <color theme="0" tint="-0.149998474074526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theme="1" tint="0.49989318521683401"/>
      </right>
      <top style="thin">
        <color theme="1" tint="0.49989318521683401"/>
      </top>
      <bottom style="thin">
        <color theme="1" tint="0.49989318521683401"/>
      </bottom>
      <diagonal/>
    </border>
    <border>
      <left style="thin">
        <color theme="1" tint="0.49989318521683401"/>
      </left>
      <right style="thin">
        <color theme="1" tint="0.49989318521683401"/>
      </right>
      <top style="thin">
        <color theme="1" tint="0.49989318521683401"/>
      </top>
      <bottom style="thin">
        <color theme="1" tint="0.49989318521683401"/>
      </bottom>
      <diagonal/>
    </border>
    <border>
      <left/>
      <right/>
      <top style="thin">
        <color theme="1" tint="0.49989318521683401"/>
      </top>
      <bottom style="thin">
        <color theme="1" tint="0.49989318521683401"/>
      </bottom>
      <diagonal/>
    </border>
    <border>
      <left style="thin">
        <color theme="1" tint="0.49989318521683401"/>
      </left>
      <right/>
      <top style="thin">
        <color theme="1" tint="0.49989318521683401"/>
      </top>
      <bottom style="thin">
        <color theme="1" tint="0.49989318521683401"/>
      </bottom>
      <diagonal/>
    </border>
    <border>
      <left/>
      <right style="thin">
        <color theme="1" tint="0.49989318521683401"/>
      </right>
      <top style="thin">
        <color theme="1" tint="0.49989318521683401"/>
      </top>
      <bottom/>
      <diagonal/>
    </border>
    <border>
      <left style="thin">
        <color theme="1" tint="0.49989318521683401"/>
      </left>
      <right style="thin">
        <color theme="1" tint="0.49989318521683401"/>
      </right>
      <top style="thin">
        <color theme="1" tint="0.49989318521683401"/>
      </top>
      <bottom/>
      <diagonal/>
    </border>
    <border>
      <left style="thin">
        <color theme="1" tint="0.49989318521683401"/>
      </left>
      <right/>
      <top style="thin">
        <color theme="1" tint="0.49989318521683401"/>
      </top>
      <bottom/>
      <diagonal/>
    </border>
    <border>
      <left style="thin">
        <color theme="0" tint="-0.14999847407452621"/>
      </left>
      <right style="thin">
        <color theme="0" tint="-0.14999847407452621"/>
      </right>
      <top/>
      <bottom/>
      <diagonal/>
    </border>
    <border>
      <left/>
      <right/>
      <top style="thin">
        <color theme="0" tint="-4.9989318521683403E-2"/>
      </top>
      <bottom/>
      <diagonal/>
    </border>
    <border>
      <left/>
      <right/>
      <top/>
      <bottom style="thin">
        <color theme="4" tint="0.59987182226020086"/>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4" tint="0.59987182226020086"/>
      </top>
      <bottom style="thin">
        <color theme="4" tint="0.59987182226020086"/>
      </bottom>
      <diagonal/>
    </border>
    <border>
      <left/>
      <right/>
      <top style="thin">
        <color theme="5" tint="0.59987182226020086"/>
      </top>
      <bottom style="thin">
        <color theme="5" tint="0.59987182226020086"/>
      </bottom>
      <diagonal/>
    </border>
    <border>
      <left/>
      <right/>
      <top/>
      <bottom style="thin">
        <color theme="0" tint="-4.9989318521683403E-2"/>
      </bottom>
      <diagonal/>
    </border>
    <border>
      <left/>
      <right/>
      <top style="thin">
        <color theme="6" tint="0.59987182226020086"/>
      </top>
      <bottom style="thin">
        <color theme="6" tint="0.59987182226020086"/>
      </bottom>
      <diagonal/>
    </border>
    <border>
      <left/>
      <right/>
      <top style="thin">
        <color theme="0" tint="-4.9989318521683403E-2"/>
      </top>
      <bottom style="thin">
        <color theme="0" tint="-4.9989318521683403E-2"/>
      </bottom>
      <diagonal/>
    </border>
    <border>
      <left/>
      <right/>
      <top style="thin">
        <color theme="8" tint="0.59987182226020086"/>
      </top>
      <bottom style="thin">
        <color theme="8" tint="0.59987182226020086"/>
      </bottom>
      <diagonal/>
    </border>
  </borders>
  <cellStyleXfs count="12">
    <xf numFmtId="0" fontId="0" fillId="0" borderId="0"/>
    <xf numFmtId="9" fontId="29" fillId="0" borderId="0"/>
    <xf numFmtId="0" fontId="12" fillId="0" borderId="0">
      <alignment vertical="top"/>
      <protection locked="0"/>
    </xf>
    <xf numFmtId="164" fontId="29" fillId="0" borderId="1">
      <alignment horizontal="center" vertical="center"/>
    </xf>
    <xf numFmtId="0" fontId="29" fillId="0" borderId="1">
      <alignment horizontal="center" vertical="center"/>
    </xf>
    <xf numFmtId="165" fontId="29" fillId="0" borderId="2">
      <alignment horizontal="center" vertical="center"/>
    </xf>
    <xf numFmtId="0" fontId="29" fillId="0" borderId="1">
      <alignment horizontal="left" vertical="center" indent="2"/>
    </xf>
    <xf numFmtId="0" fontId="1" fillId="0" borderId="0"/>
    <xf numFmtId="0" fontId="3" fillId="0" borderId="0"/>
    <xf numFmtId="0" fontId="29" fillId="0" borderId="0">
      <alignment horizontal="right" indent="1"/>
    </xf>
    <xf numFmtId="0" fontId="9" fillId="0" borderId="0"/>
    <xf numFmtId="0" fontId="9" fillId="0" borderId="0">
      <alignment vertical="top"/>
    </xf>
  </cellStyleXfs>
  <cellXfs count="123">
    <xf numFmtId="0" fontId="0" fillId="0" borderId="0" xfId="0"/>
    <xf numFmtId="0" fontId="14" fillId="2" borderId="5" xfId="0" applyFont="1" applyFill="1" applyBorder="1" applyAlignment="1">
      <alignment horizontal="center" vertical="center"/>
    </xf>
    <xf numFmtId="0" fontId="14" fillId="2" borderId="5" xfId="0" applyFont="1" applyFill="1" applyBorder="1" applyAlignment="1">
      <alignment vertical="center"/>
    </xf>
    <xf numFmtId="0" fontId="14" fillId="2" borderId="5" xfId="0" applyFont="1" applyFill="1" applyBorder="1" applyAlignment="1">
      <alignment horizontal="left" vertical="center" indent="1"/>
    </xf>
    <xf numFmtId="0" fontId="1" fillId="0" borderId="0" xfId="7" applyAlignment="1">
      <alignment wrapText="1"/>
    </xf>
    <xf numFmtId="166" fontId="13" fillId="2" borderId="4" xfId="0" applyNumberFormat="1" applyFont="1" applyFill="1" applyBorder="1" applyAlignment="1">
      <alignment horizontal="center" vertical="center" wrapText="1"/>
    </xf>
    <xf numFmtId="166" fontId="13" fillId="2" borderId="3" xfId="0" applyNumberFormat="1" applyFont="1" applyFill="1" applyBorder="1" applyAlignment="1">
      <alignment horizontal="center" vertical="center" wrapText="1"/>
    </xf>
    <xf numFmtId="0" fontId="8" fillId="0" borderId="0" xfId="0" applyFont="1" applyAlignment="1">
      <alignment horizontal="left"/>
    </xf>
    <xf numFmtId="14" fontId="8" fillId="0" borderId="0" xfId="5" applyNumberFormat="1" applyFont="1" applyBorder="1" applyAlignment="1">
      <alignment horizontal="left"/>
    </xf>
    <xf numFmtId="0" fontId="6" fillId="0" borderId="0" xfId="9" applyFont="1" applyAlignment="1">
      <alignment horizontal="left"/>
    </xf>
    <xf numFmtId="0" fontId="1" fillId="0" borderId="0" xfId="7"/>
    <xf numFmtId="0" fontId="0" fillId="0" borderId="0" xfId="0" applyAlignment="1">
      <alignment horizontal="center"/>
    </xf>
    <xf numFmtId="0" fontId="1" fillId="0" borderId="0" xfId="7" applyAlignment="1">
      <alignment wrapText="1"/>
    </xf>
    <xf numFmtId="0" fontId="2" fillId="0" borderId="0" xfId="8" applyFont="1" applyAlignment="1">
      <alignment horizontal="left"/>
    </xf>
    <xf numFmtId="0" fontId="4" fillId="0" borderId="0" xfId="0" applyFont="1"/>
    <xf numFmtId="0" fontId="5" fillId="0" borderId="0" xfId="0" applyFont="1"/>
    <xf numFmtId="0" fontId="5" fillId="0" borderId="0" xfId="0" applyFont="1" applyAlignment="1">
      <alignment horizontal="center"/>
    </xf>
    <xf numFmtId="0" fontId="5" fillId="0" borderId="0" xfId="0" applyFont="1" applyAlignment="1">
      <alignment horizontal="center" vertical="center"/>
    </xf>
    <xf numFmtId="0" fontId="7" fillId="0" borderId="0" xfId="0" applyFont="1"/>
    <xf numFmtId="0" fontId="6" fillId="0" borderId="0" xfId="10" applyFont="1" applyAlignment="1">
      <alignment horizontal="left" vertical="center" indent="1"/>
    </xf>
    <xf numFmtId="0" fontId="6" fillId="0" borderId="0" xfId="11" applyFont="1" applyAlignment="1">
      <alignment horizontal="left" vertical="center" indent="1"/>
    </xf>
    <xf numFmtId="0" fontId="10" fillId="0" borderId="0" xfId="0" applyFont="1" applyAlignment="1">
      <alignment horizontal="left" indent="1"/>
    </xf>
    <xf numFmtId="0" fontId="29" fillId="0" borderId="0" xfId="9">
      <alignment horizontal="right" indent="1"/>
    </xf>
    <xf numFmtId="0" fontId="11" fillId="0" borderId="0" xfId="2" applyFont="1" applyAlignment="1" applyProtection="1">
      <alignment horizontal="left" vertical="top" indent="1"/>
    </xf>
    <xf numFmtId="0" fontId="0" fillId="0" borderId="0" xfId="0" applyAlignment="1">
      <alignment horizontal="left" indent="1"/>
    </xf>
    <xf numFmtId="167" fontId="15" fillId="3" borderId="5" xfId="0" applyNumberFormat="1" applyFont="1" applyFill="1" applyBorder="1" applyAlignment="1">
      <alignment horizontal="center" vertical="center"/>
    </xf>
    <xf numFmtId="167" fontId="15" fillId="3" borderId="3" xfId="0" applyNumberFormat="1" applyFont="1" applyFill="1" applyBorder="1" applyAlignment="1">
      <alignment horizontal="center" vertical="center"/>
    </xf>
    <xf numFmtId="167" fontId="15" fillId="3" borderId="6" xfId="0" applyNumberFormat="1" applyFont="1" applyFill="1" applyBorder="1" applyAlignment="1">
      <alignment horizontal="center" vertical="center"/>
    </xf>
    <xf numFmtId="0" fontId="16" fillId="2" borderId="7" xfId="0" applyFont="1" applyFill="1" applyBorder="1" applyAlignment="1">
      <alignment horizontal="center" vertical="center" shrinkToFit="1"/>
    </xf>
    <xf numFmtId="0" fontId="16" fillId="2" borderId="8" xfId="0" applyFont="1" applyFill="1" applyBorder="1" applyAlignment="1">
      <alignment horizontal="center" vertical="center" shrinkToFit="1"/>
    </xf>
    <xf numFmtId="0" fontId="16" fillId="2" borderId="9" xfId="0" applyFont="1" applyFill="1" applyBorder="1" applyAlignment="1">
      <alignment horizontal="center" vertical="center" shrinkToFit="1"/>
    </xf>
    <xf numFmtId="0" fontId="13" fillId="0" borderId="0" xfId="0" applyFont="1"/>
    <xf numFmtId="0" fontId="13" fillId="0" borderId="0" xfId="0" applyFont="1" applyAlignment="1">
      <alignment wrapText="1"/>
    </xf>
    <xf numFmtId="0" fontId="0" fillId="0" borderId="10" xfId="0" applyBorder="1" applyAlignment="1">
      <alignment vertical="center"/>
    </xf>
    <xf numFmtId="0" fontId="17" fillId="4" borderId="0" xfId="0" applyFont="1" applyFill="1" applyAlignment="1">
      <alignment horizontal="left" vertical="center" indent="1"/>
    </xf>
    <xf numFmtId="0" fontId="13" fillId="4" borderId="0" xfId="4" applyFont="1" applyFill="1" applyBorder="1" applyAlignment="1">
      <alignment vertical="center"/>
    </xf>
    <xf numFmtId="9" fontId="5" fillId="4" borderId="0" xfId="1" applyFont="1" applyFill="1" applyAlignment="1">
      <alignment horizontal="center" vertical="center"/>
    </xf>
    <xf numFmtId="164" fontId="13" fillId="4" borderId="0" xfId="0" applyNumberFormat="1" applyFont="1" applyFill="1" applyAlignment="1">
      <alignment horizontal="center" vertical="center"/>
    </xf>
    <xf numFmtId="164" fontId="5" fillId="4" borderId="0" xfId="0" applyNumberFormat="1" applyFont="1" applyFill="1" applyAlignment="1">
      <alignment horizontal="center" vertical="center"/>
    </xf>
    <xf numFmtId="0" fontId="18" fillId="4" borderId="0" xfId="0" applyFont="1" applyFill="1" applyAlignment="1">
      <alignment horizontal="center" vertical="center"/>
    </xf>
    <xf numFmtId="0" fontId="18" fillId="0" borderId="1" xfId="0" applyFont="1" applyBorder="1" applyAlignment="1">
      <alignment horizontal="center" vertical="center"/>
    </xf>
    <xf numFmtId="0" fontId="0" fillId="0" borderId="11" xfId="0" applyBorder="1" applyAlignment="1">
      <alignment vertical="center"/>
    </xf>
    <xf numFmtId="0" fontId="0" fillId="0" borderId="0" xfId="0" applyAlignment="1">
      <alignment vertical="center"/>
    </xf>
    <xf numFmtId="0" fontId="19" fillId="5" borderId="12" xfId="6" applyFont="1" applyFill="1" applyBorder="1">
      <alignment horizontal="left" vertical="center" indent="2"/>
    </xf>
    <xf numFmtId="0" fontId="19" fillId="5" borderId="12" xfId="4" applyFont="1" applyFill="1" applyBorder="1" applyAlignment="1">
      <alignment vertical="center"/>
    </xf>
    <xf numFmtId="9" fontId="19" fillId="5" borderId="12" xfId="1" applyFont="1" applyFill="1" applyBorder="1" applyAlignment="1">
      <alignment horizontal="center" vertical="center"/>
    </xf>
    <xf numFmtId="168" fontId="13" fillId="5" borderId="12" xfId="3" applyNumberFormat="1" applyFont="1" applyFill="1" applyBorder="1">
      <alignment horizontal="center" vertical="center"/>
    </xf>
    <xf numFmtId="0" fontId="18" fillId="0" borderId="0" xfId="0" applyFont="1" applyAlignment="1">
      <alignment horizontal="center" vertical="center"/>
    </xf>
    <xf numFmtId="0" fontId="0" fillId="0" borderId="13" xfId="0" applyBorder="1" applyAlignment="1">
      <alignment vertical="center"/>
    </xf>
    <xf numFmtId="0" fontId="19" fillId="5" borderId="14" xfId="6" applyFont="1" applyFill="1" applyBorder="1">
      <alignment horizontal="left" vertical="center" indent="2"/>
    </xf>
    <xf numFmtId="0" fontId="19" fillId="5" borderId="14" xfId="4" applyFont="1" applyFill="1" applyBorder="1" applyAlignment="1">
      <alignment vertical="center"/>
    </xf>
    <xf numFmtId="9" fontId="19" fillId="5" borderId="14" xfId="1" applyFont="1" applyFill="1" applyBorder="1" applyAlignment="1">
      <alignment horizontal="center" vertical="center"/>
    </xf>
    <xf numFmtId="168" fontId="13" fillId="5" borderId="14" xfId="3" applyNumberFormat="1" applyFont="1" applyFill="1" applyBorder="1">
      <alignment horizontal="center" vertical="center"/>
    </xf>
    <xf numFmtId="0" fontId="0" fillId="0" borderId="13" xfId="0" applyBorder="1" applyAlignment="1">
      <alignment horizontal="right" vertical="center"/>
    </xf>
    <xf numFmtId="0" fontId="17" fillId="4" borderId="14" xfId="6" applyFont="1" applyFill="1" applyBorder="1">
      <alignment horizontal="left" vertical="center" indent="2"/>
    </xf>
    <xf numFmtId="0" fontId="13" fillId="4" borderId="14" xfId="4" applyFont="1" applyFill="1" applyBorder="1" applyAlignment="1">
      <alignment vertical="center"/>
    </xf>
    <xf numFmtId="9" fontId="5" fillId="4" borderId="14" xfId="1" applyFont="1" applyFill="1" applyBorder="1" applyAlignment="1">
      <alignment horizontal="center" vertical="center"/>
    </xf>
    <xf numFmtId="164" fontId="13" fillId="4" borderId="14" xfId="3" applyFont="1" applyFill="1" applyBorder="1">
      <alignment horizontal="center" vertical="center"/>
    </xf>
    <xf numFmtId="0" fontId="19" fillId="6" borderId="0" xfId="0" applyFont="1" applyFill="1" applyAlignment="1">
      <alignment horizontal="left" vertical="center" indent="1"/>
    </xf>
    <xf numFmtId="0" fontId="19" fillId="6" borderId="0" xfId="4" applyFont="1" applyFill="1" applyBorder="1" applyAlignment="1">
      <alignment vertical="center"/>
    </xf>
    <xf numFmtId="9" fontId="19" fillId="6" borderId="0" xfId="1" applyFont="1" applyFill="1" applyAlignment="1">
      <alignment horizontal="center" vertical="center"/>
    </xf>
    <xf numFmtId="168" fontId="13" fillId="6" borderId="0" xfId="0" applyNumberFormat="1" applyFont="1" applyFill="1" applyAlignment="1">
      <alignment horizontal="center" vertical="center"/>
    </xf>
    <xf numFmtId="168" fontId="5" fillId="6" borderId="0" xfId="0" applyNumberFormat="1" applyFont="1" applyFill="1" applyAlignment="1">
      <alignment horizontal="center" vertical="center"/>
    </xf>
    <xf numFmtId="0" fontId="19" fillId="7" borderId="15" xfId="6" applyFont="1" applyFill="1" applyBorder="1">
      <alignment horizontal="left" vertical="center" indent="2"/>
    </xf>
    <xf numFmtId="0" fontId="19" fillId="7" borderId="15" xfId="4" applyFont="1" applyFill="1" applyBorder="1" applyAlignment="1">
      <alignment vertical="center"/>
    </xf>
    <xf numFmtId="9" fontId="19" fillId="7" borderId="15" xfId="1" applyFont="1" applyFill="1" applyBorder="1" applyAlignment="1">
      <alignment horizontal="center" vertical="center"/>
    </xf>
    <xf numFmtId="168" fontId="13" fillId="7" borderId="15" xfId="3" applyNumberFormat="1" applyFont="1" applyFill="1" applyBorder="1">
      <alignment horizontal="center" vertical="center"/>
    </xf>
    <xf numFmtId="0" fontId="17" fillId="4" borderId="15" xfId="6" applyFont="1" applyFill="1" applyBorder="1">
      <alignment horizontal="left" vertical="center" indent="2"/>
    </xf>
    <xf numFmtId="0" fontId="13" fillId="4" borderId="15" xfId="4" applyFont="1" applyFill="1" applyBorder="1" applyAlignment="1">
      <alignment vertical="center"/>
    </xf>
    <xf numFmtId="9" fontId="5" fillId="4" borderId="15" xfId="1" applyFont="1" applyFill="1" applyBorder="1" applyAlignment="1">
      <alignment horizontal="center" vertical="center"/>
    </xf>
    <xf numFmtId="164" fontId="13" fillId="4" borderId="15" xfId="3" applyFont="1" applyFill="1" applyBorder="1">
      <alignment horizontal="center" vertical="center"/>
    </xf>
    <xf numFmtId="0" fontId="19" fillId="8" borderId="0" xfId="0" applyFont="1" applyFill="1" applyAlignment="1">
      <alignment horizontal="left" vertical="center" indent="1"/>
    </xf>
    <xf numFmtId="0" fontId="19" fillId="8" borderId="0" xfId="4" applyFont="1" applyFill="1" applyBorder="1" applyAlignment="1">
      <alignment vertical="center"/>
    </xf>
    <xf numFmtId="9" fontId="19" fillId="8" borderId="0" xfId="1" applyFont="1" applyFill="1" applyAlignment="1">
      <alignment horizontal="center" vertical="center"/>
    </xf>
    <xf numFmtId="168" fontId="13" fillId="8" borderId="0" xfId="0" applyNumberFormat="1" applyFont="1" applyFill="1" applyAlignment="1">
      <alignment horizontal="center" vertical="center"/>
    </xf>
    <xf numFmtId="168" fontId="5" fillId="8" borderId="0" xfId="0" applyNumberFormat="1" applyFont="1" applyFill="1" applyAlignment="1">
      <alignment horizontal="center" vertical="center"/>
    </xf>
    <xf numFmtId="0" fontId="0" fillId="0" borderId="16" xfId="0" applyBorder="1" applyAlignment="1">
      <alignment vertical="center"/>
    </xf>
    <xf numFmtId="0" fontId="19" fillId="9" borderId="17" xfId="6" applyFont="1" applyFill="1" applyBorder="1">
      <alignment horizontal="left" vertical="center" indent="2"/>
    </xf>
    <xf numFmtId="0" fontId="19" fillId="9" borderId="17" xfId="4" applyFont="1" applyFill="1" applyBorder="1" applyAlignment="1">
      <alignment vertical="center"/>
    </xf>
    <xf numFmtId="9" fontId="19" fillId="9" borderId="17" xfId="1" applyFont="1" applyFill="1" applyBorder="1" applyAlignment="1">
      <alignment horizontal="center" vertical="center"/>
    </xf>
    <xf numFmtId="168" fontId="13" fillId="9" borderId="17" xfId="3" applyNumberFormat="1" applyFont="1" applyFill="1" applyBorder="1">
      <alignment horizontal="center" vertical="center"/>
    </xf>
    <xf numFmtId="0" fontId="17" fillId="4" borderId="17" xfId="6" applyFont="1" applyFill="1" applyBorder="1">
      <alignment horizontal="left" vertical="center" indent="2"/>
    </xf>
    <xf numFmtId="0" fontId="13" fillId="4" borderId="17" xfId="4" applyFont="1" applyFill="1" applyBorder="1" applyAlignment="1">
      <alignment vertical="center"/>
    </xf>
    <xf numFmtId="9" fontId="5" fillId="4" borderId="17" xfId="1" applyFont="1" applyFill="1" applyBorder="1" applyAlignment="1">
      <alignment horizontal="center" vertical="center"/>
    </xf>
    <xf numFmtId="164" fontId="13" fillId="4" borderId="17" xfId="3" applyFont="1" applyFill="1" applyBorder="1">
      <alignment horizontal="center" vertical="center"/>
    </xf>
    <xf numFmtId="0" fontId="19" fillId="10" borderId="0" xfId="0" applyFont="1" applyFill="1" applyAlignment="1">
      <alignment horizontal="left" vertical="center" indent="1"/>
    </xf>
    <xf numFmtId="0" fontId="19" fillId="10" borderId="0" xfId="4" applyFont="1" applyFill="1" applyBorder="1" applyAlignment="1">
      <alignment vertical="center"/>
    </xf>
    <xf numFmtId="9" fontId="19" fillId="10" borderId="0" xfId="1" applyFont="1" applyFill="1" applyAlignment="1">
      <alignment horizontal="center" vertical="center"/>
    </xf>
    <xf numFmtId="168" fontId="13" fillId="10" borderId="0" xfId="0" applyNumberFormat="1" applyFont="1" applyFill="1" applyAlignment="1">
      <alignment horizontal="center" vertical="center"/>
    </xf>
    <xf numFmtId="168" fontId="5" fillId="10" borderId="0" xfId="0" applyNumberFormat="1" applyFont="1" applyFill="1" applyAlignment="1">
      <alignment horizontal="center" vertical="center"/>
    </xf>
    <xf numFmtId="0" fontId="0" fillId="0" borderId="18" xfId="0" applyBorder="1" applyAlignment="1">
      <alignment vertical="center"/>
    </xf>
    <xf numFmtId="0" fontId="19" fillId="11" borderId="19" xfId="6" applyFont="1" applyFill="1" applyBorder="1">
      <alignment horizontal="left" vertical="center" indent="2"/>
    </xf>
    <xf numFmtId="0" fontId="19" fillId="11" borderId="19" xfId="4" applyFont="1" applyFill="1" applyBorder="1" applyAlignment="1">
      <alignment vertical="center"/>
    </xf>
    <xf numFmtId="9" fontId="19" fillId="11" borderId="19" xfId="1" applyFont="1" applyFill="1" applyBorder="1" applyAlignment="1">
      <alignment horizontal="center" vertical="center"/>
    </xf>
    <xf numFmtId="168" fontId="13" fillId="11" borderId="19" xfId="3" applyNumberFormat="1" applyFont="1" applyFill="1" applyBorder="1">
      <alignment horizontal="center" vertical="center"/>
    </xf>
    <xf numFmtId="0" fontId="20" fillId="0" borderId="0" xfId="6" applyFont="1" applyBorder="1">
      <alignment horizontal="left" vertical="center" indent="2"/>
    </xf>
    <xf numFmtId="0" fontId="13" fillId="0" borderId="0" xfId="4" applyFont="1" applyBorder="1" applyAlignment="1">
      <alignment vertical="center"/>
    </xf>
    <xf numFmtId="9" fontId="5" fillId="0" borderId="0" xfId="1" applyFont="1" applyAlignment="1">
      <alignment horizontal="center" vertical="center"/>
    </xf>
    <xf numFmtId="164" fontId="13" fillId="0" borderId="0" xfId="3" applyFont="1" applyBorder="1">
      <alignment horizontal="center" vertical="center"/>
    </xf>
    <xf numFmtId="0" fontId="21" fillId="2" borderId="0" xfId="0" applyFont="1" applyFill="1" applyAlignment="1">
      <alignment horizontal="left" vertical="center" indent="1"/>
    </xf>
    <xf numFmtId="0" fontId="21" fillId="2" borderId="0" xfId="0" applyFont="1" applyFill="1" applyAlignment="1">
      <alignment vertical="center"/>
    </xf>
    <xf numFmtId="9" fontId="5" fillId="2" borderId="0" xfId="1" applyFont="1" applyFill="1" applyAlignment="1">
      <alignment horizontal="center" vertical="center"/>
    </xf>
    <xf numFmtId="164" fontId="22" fillId="2" borderId="0" xfId="0" applyNumberFormat="1" applyFont="1" applyFill="1" applyAlignment="1">
      <alignment horizontal="left" vertical="center"/>
    </xf>
    <xf numFmtId="164" fontId="5" fillId="2" borderId="0" xfId="0" applyNumberFormat="1" applyFont="1" applyFill="1" applyAlignment="1">
      <alignment horizontal="center" vertical="center"/>
    </xf>
    <xf numFmtId="0" fontId="18" fillId="2" borderId="1" xfId="0" applyFont="1" applyFill="1" applyBorder="1" applyAlignment="1">
      <alignment horizontal="center" vertical="center"/>
    </xf>
    <xf numFmtId="0" fontId="0" fillId="2" borderId="0" xfId="0" applyFill="1" applyAlignment="1">
      <alignment vertical="center"/>
    </xf>
    <xf numFmtId="0" fontId="0" fillId="0" borderId="0" xfId="0" applyAlignment="1">
      <alignment horizontal="right" vertical="center"/>
    </xf>
    <xf numFmtId="0" fontId="23" fillId="0" borderId="0" xfId="0" applyFont="1"/>
    <xf numFmtId="0" fontId="1" fillId="0" borderId="0" xfId="0" applyFont="1" applyAlignment="1">
      <alignment horizontal="center"/>
    </xf>
    <xf numFmtId="0" fontId="22" fillId="0" borderId="0" xfId="2" applyFont="1" applyAlignment="1" applyProtection="1"/>
    <xf numFmtId="0" fontId="5" fillId="0" borderId="0" xfId="0" applyFont="1" applyAlignment="1">
      <alignment vertical="top"/>
    </xf>
    <xf numFmtId="0" fontId="24" fillId="0" borderId="0" xfId="0" applyFont="1" applyAlignment="1">
      <alignment horizontal="left" vertical="center" indent="1"/>
    </xf>
    <xf numFmtId="0" fontId="24" fillId="0" borderId="0" xfId="0" applyFont="1" applyAlignment="1">
      <alignment horizontal="left" vertical="center"/>
    </xf>
    <xf numFmtId="0" fontId="25" fillId="0" borderId="0" xfId="0" applyFont="1" applyAlignment="1">
      <alignment horizontal="left" vertical="center"/>
    </xf>
    <xf numFmtId="0" fontId="18" fillId="0" borderId="0" xfId="0" applyFont="1" applyAlignment="1">
      <alignment horizontal="left" vertical="top" indent="1"/>
    </xf>
    <xf numFmtId="0" fontId="26" fillId="0" borderId="0" xfId="0" applyFont="1" applyAlignment="1">
      <alignment vertical="top"/>
    </xf>
    <xf numFmtId="0" fontId="5" fillId="0" borderId="0" xfId="0" applyFont="1" applyAlignment="1">
      <alignment horizontal="left" vertical="top"/>
    </xf>
    <xf numFmtId="0" fontId="6" fillId="0" borderId="0" xfId="0" applyFont="1" applyAlignment="1">
      <alignment horizontal="left" vertical="center" indent="1"/>
    </xf>
    <xf numFmtId="0" fontId="27" fillId="0" borderId="0" xfId="0" applyFont="1"/>
    <xf numFmtId="0" fontId="28" fillId="0" borderId="0" xfId="0" applyFont="1" applyAlignment="1">
      <alignment horizontal="left" vertical="top" wrapText="1" indent="1"/>
    </xf>
    <xf numFmtId="0" fontId="0" fillId="0" borderId="0" xfId="0" applyAlignment="1">
      <alignment horizontal="left" vertical="top" wrapText="1" indent="1"/>
    </xf>
    <xf numFmtId="0" fontId="12" fillId="0" borderId="0" xfId="2" applyAlignment="1" applyProtection="1">
      <alignment horizontal="left" vertical="top" indent="1"/>
    </xf>
    <xf numFmtId="0" fontId="5" fillId="0" borderId="0" xfId="0" applyFont="1" applyAlignment="1">
      <alignment horizontal="left" vertical="top" indent="1"/>
    </xf>
  </cellXfs>
  <cellStyles count="12">
    <cellStyle name="Date" xfId="3" xr:uid="{00000000-0005-0000-0000-000006000000}"/>
    <cellStyle name="Excel Built-in Heading 1" xfId="10" xr:uid="{00000000-0005-0000-0000-00000D000000}"/>
    <cellStyle name="Excel Built-in Heading 2" xfId="11" xr:uid="{00000000-0005-0000-0000-00000E000000}"/>
    <cellStyle name="Excel Built-in Heading 3" xfId="9" xr:uid="{00000000-0005-0000-0000-00000C000000}"/>
    <cellStyle name="Excel Built-in Title" xfId="8" xr:uid="{00000000-0005-0000-0000-00000B000000}"/>
    <cellStyle name="Hyperlink" xfId="2" builtinId="8"/>
    <cellStyle name="Name" xfId="4" xr:uid="{00000000-0005-0000-0000-000007000000}"/>
    <cellStyle name="Normal" xfId="0" builtinId="0"/>
    <cellStyle name="Percent" xfId="1" builtinId="5"/>
    <cellStyle name="Project Start" xfId="5" xr:uid="{00000000-0005-0000-0000-000008000000}"/>
    <cellStyle name="Task" xfId="6" xr:uid="{00000000-0005-0000-0000-000009000000}"/>
    <cellStyle name="zHiddenText" xfId="7" xr:uid="{00000000-0005-0000-0000-00000A000000}"/>
  </cellStyles>
  <dxfs count="9">
    <dxf>
      <fill>
        <patternFill>
          <bgColor theme="8"/>
        </patternFill>
      </fill>
      <border diagonalUp="0" diagonalDown="0">
        <left/>
        <right/>
        <top/>
        <bottom/>
      </border>
    </dxf>
    <dxf>
      <fill>
        <patternFill>
          <bgColor theme="8" tint="0.59987182226020086"/>
        </patternFill>
      </fill>
      <border diagonalUp="0" diagonalDown="0">
        <left/>
        <right/>
        <top/>
        <bottom/>
      </border>
    </dxf>
    <dxf>
      <fill>
        <patternFill>
          <bgColor theme="6" tint="0.39988402966399123"/>
        </patternFill>
      </fill>
      <border diagonalUp="0" diagonalDown="0">
        <left/>
        <right/>
        <top style="thin">
          <color theme="0" tint="-4.9989318521683403E-2"/>
        </top>
        <bottom style="thin">
          <color theme="0" tint="-4.9989318521683403E-2"/>
        </bottom>
      </border>
    </dxf>
    <dxf>
      <fill>
        <patternFill>
          <bgColor theme="6" tint="0.79989013336588644"/>
        </patternFill>
      </fill>
      <border diagonalUp="0" diagonalDown="0">
        <left/>
        <right/>
        <top style="thin">
          <color theme="0" tint="-4.9989318521683403E-2"/>
        </top>
        <bottom style="thin">
          <color theme="0" tint="-4.9989318521683403E-2"/>
        </bottom>
      </border>
    </dxf>
    <dxf>
      <fill>
        <patternFill>
          <bgColor theme="5" tint="0.39988402966399123"/>
        </patternFill>
      </fill>
      <border diagonalUp="0" diagonalDown="0">
        <left/>
        <right/>
        <top style="thin">
          <color theme="0" tint="-4.9989318521683403E-2"/>
        </top>
        <bottom style="thin">
          <color theme="0" tint="-4.9989318521683403E-2"/>
        </bottom>
      </border>
    </dxf>
    <dxf>
      <fill>
        <patternFill>
          <bgColor theme="5" tint="0.79989013336588644"/>
        </patternFill>
      </fill>
    </dxf>
    <dxf>
      <fill>
        <patternFill>
          <bgColor theme="4" tint="0.39988402966399123"/>
        </patternFill>
      </fill>
      <border diagonalUp="0" diagonalDown="0">
        <left/>
        <right/>
        <top style="thin">
          <color theme="0" tint="-4.9989318521683403E-2"/>
        </top>
        <bottom style="thin">
          <color theme="0" tint="-4.9989318521683403E-2"/>
        </bottom>
      </border>
    </dxf>
    <dxf>
      <fill>
        <patternFill>
          <bgColor theme="4" tint="0.79989013336588644"/>
        </patternFill>
      </fill>
      <border diagonalUp="0" diagonalDown="0">
        <left/>
        <right/>
        <top style="thin">
          <color theme="0" tint="-4.9989318521683403E-2"/>
        </top>
        <bottom style="thin">
          <color theme="0" tint="-4.9989318521683403E-2"/>
        </bottom>
      </border>
    </dxf>
    <dxf>
      <border diagonalUp="0" diagonalDown="0">
        <left style="thin">
          <color theme="5"/>
        </left>
        <right style="thin">
          <color theme="5"/>
        </right>
        <top/>
        <bottom/>
      </border>
    </dxf>
  </dxfs>
  <tableStyles count="0" defaultTableStyle="TableStyleMedium2" defaultPivotStyle="PivotStyleLight16"/>
  <colors>
    <indexedColors>
      <rgbColor rgb="FF000000"/>
      <rgbColor rgb="FFFFFFFF"/>
      <rgbColor rgb="FFFF0000"/>
      <rgbColor rgb="FF00FF00"/>
      <rgbColor rgb="FF0000FF"/>
      <rgbColor rgb="FFFFFF00"/>
      <rgbColor rgb="FFD800A6"/>
      <rgbColor rgb="FF00FFFF"/>
      <rgbColor rgb="FF800000"/>
      <rgbColor rgb="FF008000"/>
      <rgbColor rgb="FF000080"/>
      <rgbColor rgb="FF7F7F7F"/>
      <rgbColor rgb="FF800080"/>
      <rgbColor rgb="FF008080"/>
      <rgbColor rgb="FFD9D9D9"/>
      <rgbColor rgb="FF808080"/>
      <rgbColor rgb="FFA37EFA"/>
      <rgbColor rgb="FF993366"/>
      <rgbColor rgb="FFFFF9D4"/>
      <rgbColor rgb="FFE5F4EB"/>
      <rgbColor rgb="FF660066"/>
      <rgbColor rgb="FFFF4FD6"/>
      <rgbColor rgb="FF1363DF"/>
      <rgbColor rgb="FFE0D4FD"/>
      <rgbColor rgb="FF000080"/>
      <rgbColor rgb="FFFF00FF"/>
      <rgbColor rgb="FFFFFF00"/>
      <rgbColor rgb="FF00FFFF"/>
      <rgbColor rgb="FF800080"/>
      <rgbColor rgb="FF800000"/>
      <rgbColor rgb="FF008080"/>
      <rgbColor rgb="FF0000FF"/>
      <rgbColor rgb="FF00CCFF"/>
      <rgbColor rgb="FFF2F2F2"/>
      <rgbColor rgb="FFCBEAD7"/>
      <rgbColor rgb="FFFFF3A9"/>
      <rgbColor rgb="FFBDD7EE"/>
      <rgbColor rgb="FFFF89E4"/>
      <rgbColor rgb="FFC1A9FC"/>
      <rgbColor rgb="FFFFC4F1"/>
      <rgbColor rgb="FF3366FF"/>
      <rgbColor rgb="FF33CCCC"/>
      <rgbColor rgb="FFB2DFC4"/>
      <rgbColor rgb="FFFFE227"/>
      <rgbColor rgb="FFFF9900"/>
      <rgbColor rgb="FFFF6600"/>
      <rgbColor rgb="FF595959"/>
      <rgbColor rgb="FFA6A6A6"/>
      <rgbColor rgb="FF003366"/>
      <rgbColor rgb="FF339966"/>
      <rgbColor rgb="FF003300"/>
      <rgbColor rgb="FF333300"/>
      <rgbColor rgb="FF993300"/>
      <rgbColor rgb="FF993366"/>
      <rgbColor rgb="FF4308D0"/>
      <rgbColor rgb="FF1D212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xl/media/image1.png"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95400</xdr:rowOff>
    </xdr:from>
    <xdr:to>
      <xdr:col>0</xdr:col>
      <xdr:colOff>1904760</xdr:colOff>
      <xdr:row>0</xdr:row>
      <xdr:rowOff>523800</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2"/>
        <a:stretch/>
      </xdr:blipFill>
      <xdr:spPr>
        <a:xfrm>
          <a:off x="0" y="95400"/>
          <a:ext cx="1904760" cy="42840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vertex42.com/ExcelTemplates/simple-gantt-chart.html?utm_source=ms&amp;utm_medium=file&amp;utm_campaign=office&amp;utm_content=url" TargetMode="External"/><Relationship Id="rId1" Type="http://schemas.openxmlformats.org/officeDocument/2006/relationships/hyperlink" Target="https://www.vertex42.com/ExcelTemplates/simple-gantt-chart.html?utm_source=ms&amp;utm_medium=file&amp;utm_campaign=office&amp;utm_content=text"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excel-project-managemen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simple-gantt-chart.html?utm_source=ms&amp;utm_medium=file&amp;utm_campaign=office&amp;utm_content=text"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L36"/>
  <sheetViews>
    <sheetView showGridLines="0" tabSelected="1" zoomScale="80" zoomScaleNormal="80" workbookViewId="0">
      <selection activeCell="D12" sqref="D12"/>
    </sheetView>
  </sheetViews>
  <sheetFormatPr defaultColWidth="8.58203125" defaultRowHeight="14" x14ac:dyDescent="0.3"/>
  <cols>
    <col min="1" max="1" width="2.58203125" style="10" customWidth="1"/>
    <col min="2" max="2" width="45.4140625" customWidth="1"/>
    <col min="3" max="3" width="16.58203125" customWidth="1"/>
    <col min="4" max="4" width="10.58203125" customWidth="1"/>
    <col min="5" max="5" width="10.58203125" style="11" customWidth="1"/>
    <col min="6" max="6" width="10.58203125" customWidth="1"/>
    <col min="7" max="7" width="2.58203125" customWidth="1"/>
    <col min="8" max="8" width="6" hidden="1" customWidth="1"/>
    <col min="9" max="65" width="2.58203125" customWidth="1"/>
  </cols>
  <sheetData>
    <row r="1" spans="1:64" ht="90" customHeight="1" x14ac:dyDescent="1.1000000000000001">
      <c r="A1" s="12"/>
      <c r="B1" s="13" t="s">
        <v>0</v>
      </c>
      <c r="C1" s="14"/>
      <c r="D1" s="15"/>
      <c r="E1" s="16"/>
      <c r="F1" s="17"/>
      <c r="H1" s="15"/>
      <c r="I1" s="9" t="s">
        <v>1</v>
      </c>
      <c r="J1" s="9"/>
      <c r="K1" s="9"/>
      <c r="L1" s="9"/>
      <c r="M1" s="9"/>
      <c r="N1" s="9"/>
      <c r="O1" s="9"/>
      <c r="P1" s="18"/>
      <c r="Q1" s="8">
        <v>46115</v>
      </c>
      <c r="R1" s="8"/>
      <c r="S1" s="8"/>
      <c r="T1" s="8"/>
      <c r="U1" s="8"/>
      <c r="V1" s="8"/>
      <c r="W1" s="8"/>
      <c r="X1" s="8"/>
      <c r="Y1" s="8"/>
      <c r="Z1" s="8"/>
    </row>
    <row r="2" spans="1:64" ht="30" customHeight="1" x14ac:dyDescent="0.7">
      <c r="B2" s="19" t="s">
        <v>2</v>
      </c>
      <c r="C2" s="20" t="s">
        <v>3</v>
      </c>
      <c r="I2" s="9" t="s">
        <v>4</v>
      </c>
      <c r="J2" s="9"/>
      <c r="K2" s="9"/>
      <c r="L2" s="9"/>
      <c r="M2" s="9"/>
      <c r="N2" s="9"/>
      <c r="O2" s="9"/>
      <c r="P2" s="18"/>
      <c r="Q2" s="7">
        <v>1</v>
      </c>
      <c r="R2" s="7"/>
      <c r="S2" s="7"/>
      <c r="T2" s="7"/>
      <c r="U2" s="7"/>
      <c r="V2" s="7"/>
      <c r="W2" s="7"/>
      <c r="X2" s="7"/>
      <c r="Y2" s="7"/>
      <c r="Z2" s="7"/>
    </row>
    <row r="3" spans="1:64" ht="30" customHeight="1" x14ac:dyDescent="0.3">
      <c r="B3" s="21" t="s">
        <v>5</v>
      </c>
      <c r="D3" s="22"/>
    </row>
    <row r="4" spans="1:64" ht="30" customHeight="1" x14ac:dyDescent="0.3">
      <c r="A4" s="12"/>
      <c r="B4" s="23" t="s">
        <v>6</v>
      </c>
      <c r="E4" s="24"/>
      <c r="I4" s="6">
        <f>I5</f>
        <v>46111</v>
      </c>
      <c r="J4" s="6"/>
      <c r="K4" s="6"/>
      <c r="L4" s="6"/>
      <c r="M4" s="6"/>
      <c r="N4" s="6"/>
      <c r="O4" s="6"/>
      <c r="P4" s="5">
        <f>P5</f>
        <v>46118</v>
      </c>
      <c r="Q4" s="5"/>
      <c r="R4" s="5"/>
      <c r="S4" s="5"/>
      <c r="T4" s="5"/>
      <c r="U4" s="5"/>
      <c r="V4" s="5"/>
      <c r="W4" s="5">
        <f>W5</f>
        <v>46125</v>
      </c>
      <c r="X4" s="5"/>
      <c r="Y4" s="5"/>
      <c r="Z4" s="5"/>
      <c r="AA4" s="5"/>
      <c r="AB4" s="5"/>
      <c r="AC4" s="5"/>
      <c r="AD4" s="5">
        <f>AD5</f>
        <v>46132</v>
      </c>
      <c r="AE4" s="5"/>
      <c r="AF4" s="5"/>
      <c r="AG4" s="5"/>
      <c r="AH4" s="5"/>
      <c r="AI4" s="5"/>
      <c r="AJ4" s="5"/>
      <c r="AK4" s="5">
        <f>AK5</f>
        <v>46139</v>
      </c>
      <c r="AL4" s="5"/>
      <c r="AM4" s="5"/>
      <c r="AN4" s="5"/>
      <c r="AO4" s="5"/>
      <c r="AP4" s="5"/>
      <c r="AQ4" s="5"/>
      <c r="AR4" s="5">
        <f>AR5</f>
        <v>46146</v>
      </c>
      <c r="AS4" s="5"/>
      <c r="AT4" s="5"/>
      <c r="AU4" s="5"/>
      <c r="AV4" s="5"/>
      <c r="AW4" s="5"/>
      <c r="AX4" s="5"/>
      <c r="AY4" s="5">
        <f>AY5</f>
        <v>46153</v>
      </c>
      <c r="AZ4" s="5"/>
      <c r="BA4" s="5"/>
      <c r="BB4" s="5"/>
      <c r="BC4" s="5"/>
      <c r="BD4" s="5"/>
      <c r="BE4" s="5"/>
      <c r="BF4" s="5">
        <f>BF5</f>
        <v>46160</v>
      </c>
      <c r="BG4" s="5"/>
      <c r="BH4" s="5"/>
      <c r="BI4" s="5"/>
      <c r="BJ4" s="5"/>
      <c r="BK4" s="5"/>
      <c r="BL4" s="5"/>
    </row>
    <row r="5" spans="1:64" ht="15" customHeight="1" x14ac:dyDescent="0.3">
      <c r="A5" s="4"/>
      <c r="B5" s="3" t="s">
        <v>7</v>
      </c>
      <c r="C5" s="2" t="s">
        <v>8</v>
      </c>
      <c r="D5" s="1" t="s">
        <v>9</v>
      </c>
      <c r="E5" s="1" t="s">
        <v>10</v>
      </c>
      <c r="F5" s="1" t="s">
        <v>11</v>
      </c>
      <c r="I5" s="25">
        <f>Project_Start-WEEKDAY(Project_Start,1)+2+7*(Display_Week-1)</f>
        <v>46111</v>
      </c>
      <c r="J5" s="25">
        <f t="shared" ref="J5:AO5" si="0">I5+1</f>
        <v>46112</v>
      </c>
      <c r="K5" s="25">
        <f t="shared" si="0"/>
        <v>46113</v>
      </c>
      <c r="L5" s="25">
        <f t="shared" si="0"/>
        <v>46114</v>
      </c>
      <c r="M5" s="25">
        <f t="shared" si="0"/>
        <v>46115</v>
      </c>
      <c r="N5" s="25">
        <f t="shared" si="0"/>
        <v>46116</v>
      </c>
      <c r="O5" s="26">
        <f t="shared" si="0"/>
        <v>46117</v>
      </c>
      <c r="P5" s="27">
        <f t="shared" si="0"/>
        <v>46118</v>
      </c>
      <c r="Q5" s="25">
        <f t="shared" si="0"/>
        <v>46119</v>
      </c>
      <c r="R5" s="25">
        <f t="shared" si="0"/>
        <v>46120</v>
      </c>
      <c r="S5" s="25">
        <f t="shared" si="0"/>
        <v>46121</v>
      </c>
      <c r="T5" s="25">
        <f t="shared" si="0"/>
        <v>46122</v>
      </c>
      <c r="U5" s="25">
        <f t="shared" si="0"/>
        <v>46123</v>
      </c>
      <c r="V5" s="26">
        <f t="shared" si="0"/>
        <v>46124</v>
      </c>
      <c r="W5" s="27">
        <f t="shared" si="0"/>
        <v>46125</v>
      </c>
      <c r="X5" s="25">
        <f t="shared" si="0"/>
        <v>46126</v>
      </c>
      <c r="Y5" s="25">
        <f t="shared" si="0"/>
        <v>46127</v>
      </c>
      <c r="Z5" s="25">
        <f t="shared" si="0"/>
        <v>46128</v>
      </c>
      <c r="AA5" s="25">
        <f t="shared" si="0"/>
        <v>46129</v>
      </c>
      <c r="AB5" s="25">
        <f t="shared" si="0"/>
        <v>46130</v>
      </c>
      <c r="AC5" s="26">
        <f t="shared" si="0"/>
        <v>46131</v>
      </c>
      <c r="AD5" s="27">
        <f t="shared" si="0"/>
        <v>46132</v>
      </c>
      <c r="AE5" s="25">
        <f t="shared" si="0"/>
        <v>46133</v>
      </c>
      <c r="AF5" s="25">
        <f t="shared" si="0"/>
        <v>46134</v>
      </c>
      <c r="AG5" s="25">
        <f t="shared" si="0"/>
        <v>46135</v>
      </c>
      <c r="AH5" s="25">
        <f t="shared" si="0"/>
        <v>46136</v>
      </c>
      <c r="AI5" s="25">
        <f t="shared" si="0"/>
        <v>46137</v>
      </c>
      <c r="AJ5" s="26">
        <f t="shared" si="0"/>
        <v>46138</v>
      </c>
      <c r="AK5" s="27">
        <f t="shared" si="0"/>
        <v>46139</v>
      </c>
      <c r="AL5" s="25">
        <f t="shared" si="0"/>
        <v>46140</v>
      </c>
      <c r="AM5" s="25">
        <f t="shared" si="0"/>
        <v>46141</v>
      </c>
      <c r="AN5" s="25">
        <f t="shared" si="0"/>
        <v>46142</v>
      </c>
      <c r="AO5" s="25">
        <f t="shared" si="0"/>
        <v>46143</v>
      </c>
      <c r="AP5" s="25">
        <f t="shared" ref="AP5:BL5" si="1">AO5+1</f>
        <v>46144</v>
      </c>
      <c r="AQ5" s="26">
        <f t="shared" si="1"/>
        <v>46145</v>
      </c>
      <c r="AR5" s="27">
        <f t="shared" si="1"/>
        <v>46146</v>
      </c>
      <c r="AS5" s="25">
        <f t="shared" si="1"/>
        <v>46147</v>
      </c>
      <c r="AT5" s="25">
        <f t="shared" si="1"/>
        <v>46148</v>
      </c>
      <c r="AU5" s="25">
        <f t="shared" si="1"/>
        <v>46149</v>
      </c>
      <c r="AV5" s="25">
        <f t="shared" si="1"/>
        <v>46150</v>
      </c>
      <c r="AW5" s="25">
        <f t="shared" si="1"/>
        <v>46151</v>
      </c>
      <c r="AX5" s="26">
        <f t="shared" si="1"/>
        <v>46152</v>
      </c>
      <c r="AY5" s="27">
        <f t="shared" si="1"/>
        <v>46153</v>
      </c>
      <c r="AZ5" s="25">
        <f t="shared" si="1"/>
        <v>46154</v>
      </c>
      <c r="BA5" s="25">
        <f t="shared" si="1"/>
        <v>46155</v>
      </c>
      <c r="BB5" s="25">
        <f t="shared" si="1"/>
        <v>46156</v>
      </c>
      <c r="BC5" s="25">
        <f t="shared" si="1"/>
        <v>46157</v>
      </c>
      <c r="BD5" s="25">
        <f t="shared" si="1"/>
        <v>46158</v>
      </c>
      <c r="BE5" s="26">
        <f t="shared" si="1"/>
        <v>46159</v>
      </c>
      <c r="BF5" s="27">
        <f t="shared" si="1"/>
        <v>46160</v>
      </c>
      <c r="BG5" s="25">
        <f t="shared" si="1"/>
        <v>46161</v>
      </c>
      <c r="BH5" s="25">
        <f t="shared" si="1"/>
        <v>46162</v>
      </c>
      <c r="BI5" s="25">
        <f t="shared" si="1"/>
        <v>46163</v>
      </c>
      <c r="BJ5" s="25">
        <f t="shared" si="1"/>
        <v>46164</v>
      </c>
      <c r="BK5" s="25">
        <f t="shared" si="1"/>
        <v>46165</v>
      </c>
      <c r="BL5" s="25">
        <f t="shared" si="1"/>
        <v>46166</v>
      </c>
    </row>
    <row r="6" spans="1:64" ht="15" customHeight="1" x14ac:dyDescent="0.3">
      <c r="A6" s="4"/>
      <c r="B6" s="3"/>
      <c r="C6" s="3"/>
      <c r="D6" s="3"/>
      <c r="E6" s="3"/>
      <c r="F6" s="3"/>
      <c r="I6" s="28" t="str">
        <f t="shared" ref="I6:AN6" si="2">LEFT(TEXT(I5,"ddd"),1)</f>
        <v>M</v>
      </c>
      <c r="J6" s="29" t="str">
        <f t="shared" si="2"/>
        <v>T</v>
      </c>
      <c r="K6" s="29" t="str">
        <f t="shared" si="2"/>
        <v>W</v>
      </c>
      <c r="L6" s="29" t="str">
        <f t="shared" si="2"/>
        <v>T</v>
      </c>
      <c r="M6" s="29" t="str">
        <f t="shared" si="2"/>
        <v>F</v>
      </c>
      <c r="N6" s="29" t="str">
        <f t="shared" si="2"/>
        <v>S</v>
      </c>
      <c r="O6" s="29" t="str">
        <f t="shared" si="2"/>
        <v>S</v>
      </c>
      <c r="P6" s="29" t="str">
        <f t="shared" si="2"/>
        <v>M</v>
      </c>
      <c r="Q6" s="29" t="str">
        <f t="shared" si="2"/>
        <v>T</v>
      </c>
      <c r="R6" s="29" t="str">
        <f t="shared" si="2"/>
        <v>W</v>
      </c>
      <c r="S6" s="29" t="str">
        <f t="shared" si="2"/>
        <v>T</v>
      </c>
      <c r="T6" s="29" t="str">
        <f t="shared" si="2"/>
        <v>F</v>
      </c>
      <c r="U6" s="29" t="str">
        <f t="shared" si="2"/>
        <v>S</v>
      </c>
      <c r="V6" s="29" t="str">
        <f t="shared" si="2"/>
        <v>S</v>
      </c>
      <c r="W6" s="29" t="str">
        <f t="shared" si="2"/>
        <v>M</v>
      </c>
      <c r="X6" s="29" t="str">
        <f t="shared" si="2"/>
        <v>T</v>
      </c>
      <c r="Y6" s="29" t="str">
        <f t="shared" si="2"/>
        <v>W</v>
      </c>
      <c r="Z6" s="29" t="str">
        <f t="shared" si="2"/>
        <v>T</v>
      </c>
      <c r="AA6" s="29" t="str">
        <f t="shared" si="2"/>
        <v>F</v>
      </c>
      <c r="AB6" s="29" t="str">
        <f t="shared" si="2"/>
        <v>S</v>
      </c>
      <c r="AC6" s="29" t="str">
        <f t="shared" si="2"/>
        <v>S</v>
      </c>
      <c r="AD6" s="29" t="str">
        <f t="shared" si="2"/>
        <v>M</v>
      </c>
      <c r="AE6" s="29" t="str">
        <f t="shared" si="2"/>
        <v>T</v>
      </c>
      <c r="AF6" s="29" t="str">
        <f t="shared" si="2"/>
        <v>W</v>
      </c>
      <c r="AG6" s="29" t="str">
        <f t="shared" si="2"/>
        <v>T</v>
      </c>
      <c r="AH6" s="29" t="str">
        <f t="shared" si="2"/>
        <v>F</v>
      </c>
      <c r="AI6" s="29" t="str">
        <f t="shared" si="2"/>
        <v>S</v>
      </c>
      <c r="AJ6" s="29" t="str">
        <f t="shared" si="2"/>
        <v>S</v>
      </c>
      <c r="AK6" s="29" t="str">
        <f t="shared" si="2"/>
        <v>M</v>
      </c>
      <c r="AL6" s="29" t="str">
        <f t="shared" si="2"/>
        <v>T</v>
      </c>
      <c r="AM6" s="29" t="str">
        <f t="shared" si="2"/>
        <v>W</v>
      </c>
      <c r="AN6" s="29" t="str">
        <f t="shared" si="2"/>
        <v>T</v>
      </c>
      <c r="AO6" s="29" t="str">
        <f t="shared" ref="AO6:BT6" si="3">LEFT(TEXT(AO5,"ddd"),1)</f>
        <v>F</v>
      </c>
      <c r="AP6" s="29" t="str">
        <f t="shared" si="3"/>
        <v>S</v>
      </c>
      <c r="AQ6" s="29" t="str">
        <f t="shared" si="3"/>
        <v>S</v>
      </c>
      <c r="AR6" s="29" t="str">
        <f t="shared" si="3"/>
        <v>M</v>
      </c>
      <c r="AS6" s="29" t="str">
        <f t="shared" si="3"/>
        <v>T</v>
      </c>
      <c r="AT6" s="29" t="str">
        <f t="shared" si="3"/>
        <v>W</v>
      </c>
      <c r="AU6" s="29" t="str">
        <f t="shared" si="3"/>
        <v>T</v>
      </c>
      <c r="AV6" s="29" t="str">
        <f t="shared" si="3"/>
        <v>F</v>
      </c>
      <c r="AW6" s="29" t="str">
        <f t="shared" si="3"/>
        <v>S</v>
      </c>
      <c r="AX6" s="29" t="str">
        <f t="shared" si="3"/>
        <v>S</v>
      </c>
      <c r="AY6" s="29" t="str">
        <f t="shared" si="3"/>
        <v>M</v>
      </c>
      <c r="AZ6" s="29" t="str">
        <f t="shared" si="3"/>
        <v>T</v>
      </c>
      <c r="BA6" s="29" t="str">
        <f t="shared" si="3"/>
        <v>W</v>
      </c>
      <c r="BB6" s="29" t="str">
        <f t="shared" si="3"/>
        <v>T</v>
      </c>
      <c r="BC6" s="29" t="str">
        <f t="shared" si="3"/>
        <v>F</v>
      </c>
      <c r="BD6" s="29" t="str">
        <f t="shared" si="3"/>
        <v>S</v>
      </c>
      <c r="BE6" s="29" t="str">
        <f t="shared" si="3"/>
        <v>S</v>
      </c>
      <c r="BF6" s="29" t="str">
        <f t="shared" si="3"/>
        <v>M</v>
      </c>
      <c r="BG6" s="29" t="str">
        <f t="shared" si="3"/>
        <v>T</v>
      </c>
      <c r="BH6" s="29" t="str">
        <f t="shared" si="3"/>
        <v>W</v>
      </c>
      <c r="BI6" s="29" t="str">
        <f t="shared" si="3"/>
        <v>T</v>
      </c>
      <c r="BJ6" s="29" t="str">
        <f t="shared" si="3"/>
        <v>F</v>
      </c>
      <c r="BK6" s="29" t="str">
        <f t="shared" si="3"/>
        <v>S</v>
      </c>
      <c r="BL6" s="30" t="str">
        <f t="shared" si="3"/>
        <v>S</v>
      </c>
    </row>
    <row r="7" spans="1:64" ht="30" hidden="1" customHeight="1" x14ac:dyDescent="0.3">
      <c r="A7" s="10" t="s">
        <v>12</v>
      </c>
      <c r="B7" s="31"/>
      <c r="C7" s="32"/>
      <c r="D7" s="31"/>
      <c r="E7" s="31"/>
      <c r="F7" s="31"/>
      <c r="H7" t="str">
        <f>IF(OR(ISBLANK(task_start),ISBLANK(task_end)),"",task_end-task_start+1)</f>
        <v/>
      </c>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row>
    <row r="8" spans="1:64" s="42" customFormat="1" ht="30" customHeight="1" x14ac:dyDescent="0.3">
      <c r="A8" s="12"/>
      <c r="B8" s="34" t="s">
        <v>13</v>
      </c>
      <c r="C8" s="35"/>
      <c r="D8" s="36"/>
      <c r="E8" s="37"/>
      <c r="F8" s="38"/>
      <c r="G8" s="39"/>
      <c r="H8" s="40"/>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row>
    <row r="9" spans="1:64" s="42" customFormat="1" ht="30" customHeight="1" x14ac:dyDescent="0.3">
      <c r="A9" s="12"/>
      <c r="B9" s="43" t="s">
        <v>14</v>
      </c>
      <c r="C9" s="44" t="s">
        <v>15</v>
      </c>
      <c r="D9" s="45">
        <v>0</v>
      </c>
      <c r="E9" s="46">
        <v>46115</v>
      </c>
      <c r="F9" s="46">
        <v>46117</v>
      </c>
      <c r="G9" s="47"/>
      <c r="H9" s="40"/>
      <c r="I9" s="48"/>
      <c r="J9" s="48"/>
      <c r="K9" s="48"/>
      <c r="L9" s="48"/>
      <c r="M9" s="48"/>
      <c r="N9" s="48"/>
      <c r="O9" s="48"/>
      <c r="P9" s="48"/>
      <c r="Q9" s="48"/>
      <c r="R9" s="48"/>
      <c r="S9" s="48"/>
      <c r="T9" s="48"/>
      <c r="U9" s="48"/>
      <c r="V9" s="48"/>
      <c r="W9" s="48"/>
      <c r="X9" s="48"/>
      <c r="Y9" s="48"/>
      <c r="Z9" s="48"/>
      <c r="AA9" s="48"/>
      <c r="AB9" s="48"/>
      <c r="AC9" s="48"/>
      <c r="AD9" s="48"/>
      <c r="AE9" s="48"/>
      <c r="AF9" s="48"/>
      <c r="AG9" s="48"/>
      <c r="AH9" s="48"/>
      <c r="AI9" s="48"/>
      <c r="AJ9" s="48"/>
      <c r="AK9" s="48"/>
      <c r="AL9" s="48"/>
      <c r="AM9" s="48"/>
      <c r="AN9" s="48"/>
      <c r="AO9" s="48"/>
      <c r="AP9" s="48"/>
      <c r="AQ9" s="48"/>
      <c r="AR9" s="48"/>
      <c r="AS9" s="48"/>
      <c r="AT9" s="48"/>
      <c r="AU9" s="48"/>
      <c r="AV9" s="48"/>
      <c r="AW9" s="48"/>
      <c r="AX9" s="48"/>
      <c r="AY9" s="48"/>
      <c r="AZ9" s="48"/>
      <c r="BA9" s="48"/>
      <c r="BB9" s="48"/>
      <c r="BC9" s="48"/>
      <c r="BD9" s="48"/>
      <c r="BE9" s="48"/>
      <c r="BF9" s="48"/>
      <c r="BG9" s="48"/>
      <c r="BH9" s="48"/>
      <c r="BI9" s="48"/>
      <c r="BJ9" s="48"/>
      <c r="BK9" s="48"/>
      <c r="BL9" s="48"/>
    </row>
    <row r="10" spans="1:64" s="42" customFormat="1" ht="30" customHeight="1" x14ac:dyDescent="0.3">
      <c r="A10" s="12"/>
      <c r="B10" s="49" t="s">
        <v>16</v>
      </c>
      <c r="C10" s="50" t="s">
        <v>17</v>
      </c>
      <c r="D10" s="51">
        <v>0</v>
      </c>
      <c r="E10" s="52">
        <v>46115</v>
      </c>
      <c r="F10" s="52">
        <v>46116</v>
      </c>
      <c r="G10" s="47"/>
      <c r="H10" s="40"/>
      <c r="I10" s="48"/>
      <c r="J10" s="48"/>
      <c r="K10" s="48"/>
      <c r="L10" s="48"/>
      <c r="M10" s="48"/>
      <c r="N10" s="48"/>
      <c r="O10" s="48"/>
      <c r="P10" s="48"/>
      <c r="Q10" s="48"/>
      <c r="R10" s="48"/>
      <c r="S10" s="48"/>
      <c r="T10" s="48"/>
      <c r="U10" s="53"/>
      <c r="V10" s="53"/>
      <c r="W10" s="48"/>
      <c r="X10" s="48"/>
      <c r="Y10" s="48"/>
      <c r="Z10" s="48"/>
      <c r="AA10" s="48"/>
      <c r="AB10" s="48"/>
      <c r="AC10" s="48"/>
      <c r="AD10" s="48"/>
      <c r="AE10" s="48"/>
      <c r="AF10" s="48"/>
      <c r="AG10" s="48"/>
      <c r="AH10" s="48"/>
      <c r="AI10" s="48"/>
      <c r="AJ10" s="48"/>
      <c r="AK10" s="48"/>
      <c r="AL10" s="48"/>
      <c r="AM10" s="48"/>
      <c r="AN10" s="48"/>
      <c r="AO10" s="48"/>
      <c r="AP10" s="48"/>
      <c r="AQ10" s="48"/>
      <c r="AR10" s="48"/>
      <c r="AS10" s="48"/>
      <c r="AT10" s="48"/>
      <c r="AU10" s="48"/>
      <c r="AV10" s="48"/>
      <c r="AW10" s="48"/>
      <c r="AX10" s="48"/>
      <c r="AY10" s="48"/>
      <c r="AZ10" s="48"/>
      <c r="BA10" s="48"/>
      <c r="BB10" s="48"/>
      <c r="BC10" s="48"/>
      <c r="BD10" s="48"/>
      <c r="BE10" s="48"/>
      <c r="BF10" s="48"/>
      <c r="BG10" s="48"/>
      <c r="BH10" s="48"/>
      <c r="BI10" s="48"/>
      <c r="BJ10" s="48"/>
      <c r="BK10" s="48"/>
      <c r="BL10" s="48"/>
    </row>
    <row r="11" spans="1:64" s="42" customFormat="1" ht="30" customHeight="1" x14ac:dyDescent="0.3">
      <c r="A11" s="10"/>
      <c r="B11" s="49" t="s">
        <v>18</v>
      </c>
      <c r="C11" s="50" t="s">
        <v>19</v>
      </c>
      <c r="D11" s="51">
        <v>0</v>
      </c>
      <c r="E11" s="52">
        <v>46115</v>
      </c>
      <c r="F11" s="52">
        <v>46117</v>
      </c>
      <c r="G11" s="47"/>
      <c r="H11" s="40"/>
      <c r="I11" s="48"/>
      <c r="J11" s="48"/>
      <c r="K11" s="48"/>
      <c r="L11" s="48"/>
      <c r="M11" s="48"/>
      <c r="N11" s="48"/>
      <c r="O11" s="48"/>
      <c r="P11" s="48"/>
      <c r="Q11" s="48"/>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c r="AP11" s="48"/>
      <c r="AQ11" s="48"/>
      <c r="AR11" s="48"/>
      <c r="AS11" s="48"/>
      <c r="AT11" s="48"/>
      <c r="AU11" s="48"/>
      <c r="AV11" s="48"/>
      <c r="AW11" s="48"/>
      <c r="AX11" s="48"/>
      <c r="AY11" s="48"/>
      <c r="AZ11" s="48"/>
      <c r="BA11" s="48"/>
      <c r="BB11" s="48"/>
      <c r="BC11" s="48"/>
      <c r="BD11" s="48"/>
      <c r="BE11" s="48"/>
      <c r="BF11" s="48"/>
      <c r="BG11" s="48"/>
      <c r="BH11" s="48"/>
      <c r="BI11" s="48"/>
      <c r="BJ11" s="48"/>
      <c r="BK11" s="48"/>
      <c r="BL11" s="48"/>
    </row>
    <row r="12" spans="1:64" s="42" customFormat="1" ht="30" customHeight="1" x14ac:dyDescent="0.3">
      <c r="A12" s="10"/>
      <c r="B12" s="54" t="s">
        <v>20</v>
      </c>
      <c r="C12" s="55"/>
      <c r="D12" s="56"/>
      <c r="E12" s="57"/>
      <c r="F12" s="57"/>
      <c r="G12" s="39"/>
      <c r="H12" s="40"/>
      <c r="I12" s="48"/>
      <c r="J12" s="48"/>
      <c r="K12" s="48"/>
      <c r="L12" s="48"/>
      <c r="M12" s="48"/>
      <c r="N12" s="48"/>
      <c r="O12" s="48"/>
      <c r="P12" s="48"/>
      <c r="Q12" s="48"/>
      <c r="R12" s="48"/>
      <c r="S12" s="48"/>
      <c r="T12" s="48"/>
      <c r="U12" s="48"/>
      <c r="V12" s="48"/>
      <c r="W12" s="48"/>
      <c r="X12" s="48"/>
      <c r="Y12" s="53"/>
      <c r="Z12" s="48"/>
      <c r="AA12" s="48"/>
      <c r="AB12" s="48"/>
      <c r="AC12" s="48"/>
      <c r="AD12" s="48"/>
      <c r="AE12" s="48"/>
      <c r="AF12" s="48"/>
      <c r="AG12" s="48"/>
      <c r="AH12" s="48"/>
      <c r="AI12" s="48"/>
      <c r="AJ12" s="48"/>
      <c r="AK12" s="48"/>
      <c r="AL12" s="48"/>
      <c r="AM12" s="48"/>
      <c r="AN12" s="48"/>
      <c r="AO12" s="48"/>
      <c r="AP12" s="48"/>
      <c r="AQ12" s="48"/>
      <c r="AR12" s="48"/>
      <c r="AS12" s="48"/>
      <c r="AT12" s="48"/>
      <c r="AU12" s="48"/>
      <c r="AV12" s="48"/>
      <c r="AW12" s="48"/>
      <c r="AX12" s="48"/>
      <c r="AY12" s="48"/>
      <c r="AZ12" s="48"/>
      <c r="BA12" s="48"/>
      <c r="BB12" s="48"/>
      <c r="BC12" s="48"/>
      <c r="BD12" s="48"/>
      <c r="BE12" s="48"/>
      <c r="BF12" s="48"/>
      <c r="BG12" s="48"/>
      <c r="BH12" s="48"/>
      <c r="BI12" s="48"/>
      <c r="BJ12" s="48"/>
      <c r="BK12" s="48"/>
      <c r="BL12" s="48"/>
    </row>
    <row r="13" spans="1:64" s="42" customFormat="1" ht="30" customHeight="1" x14ac:dyDescent="0.3">
      <c r="A13" s="10"/>
      <c r="B13" s="49" t="s">
        <v>21</v>
      </c>
      <c r="C13" s="50" t="s">
        <v>15</v>
      </c>
      <c r="D13" s="51">
        <v>0</v>
      </c>
      <c r="E13" s="52">
        <v>46117</v>
      </c>
      <c r="F13" s="52">
        <v>46120</v>
      </c>
      <c r="G13" s="47"/>
      <c r="H13" s="40"/>
      <c r="I13" s="48"/>
      <c r="J13" s="48"/>
      <c r="K13" s="48"/>
      <c r="L13" s="48"/>
      <c r="M13" s="48"/>
      <c r="N13" s="48"/>
      <c r="O13" s="48"/>
      <c r="P13" s="48"/>
      <c r="Q13" s="48"/>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c r="AP13" s="48"/>
      <c r="AQ13" s="48"/>
      <c r="AR13" s="48"/>
      <c r="AS13" s="48"/>
      <c r="AT13" s="48"/>
      <c r="AU13" s="48"/>
      <c r="AV13" s="48"/>
      <c r="AW13" s="48"/>
      <c r="AX13" s="48"/>
      <c r="AY13" s="48"/>
      <c r="AZ13" s="48"/>
      <c r="BA13" s="48"/>
      <c r="BB13" s="48"/>
      <c r="BC13" s="48"/>
      <c r="BD13" s="48"/>
      <c r="BE13" s="48"/>
      <c r="BF13" s="48"/>
      <c r="BG13" s="48"/>
      <c r="BH13" s="48"/>
      <c r="BI13" s="48"/>
      <c r="BJ13" s="48"/>
      <c r="BK13" s="48"/>
      <c r="BL13" s="48"/>
    </row>
    <row r="14" spans="1:64" s="42" customFormat="1" ht="30" customHeight="1" x14ac:dyDescent="0.3">
      <c r="A14" s="12"/>
      <c r="B14" s="58" t="s">
        <v>22</v>
      </c>
      <c r="C14" s="59" t="s">
        <v>23</v>
      </c>
      <c r="D14" s="60">
        <v>0</v>
      </c>
      <c r="E14" s="61">
        <v>46117</v>
      </c>
      <c r="F14" s="62">
        <v>46120</v>
      </c>
      <c r="G14" s="47"/>
      <c r="H14" s="40"/>
    </row>
    <row r="15" spans="1:64" s="42" customFormat="1" ht="30" customHeight="1" x14ac:dyDescent="0.3">
      <c r="A15" s="12"/>
      <c r="B15" s="63" t="s">
        <v>24</v>
      </c>
      <c r="C15" s="64" t="s">
        <v>23</v>
      </c>
      <c r="D15" s="65">
        <v>0</v>
      </c>
      <c r="E15" s="66">
        <v>46118</v>
      </c>
      <c r="F15" s="66">
        <v>46121</v>
      </c>
      <c r="G15" s="47"/>
      <c r="H15" s="40"/>
      <c r="I15" s="48"/>
      <c r="J15" s="48"/>
      <c r="K15" s="48"/>
      <c r="L15" s="48"/>
      <c r="M15" s="48"/>
      <c r="N15" s="48"/>
      <c r="O15" s="48"/>
      <c r="P15" s="48"/>
      <c r="Q15" s="48"/>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c r="AP15" s="48"/>
      <c r="AQ15" s="48"/>
      <c r="AR15" s="48"/>
      <c r="AS15" s="48"/>
      <c r="AT15" s="48"/>
      <c r="AU15" s="48"/>
      <c r="AV15" s="48"/>
      <c r="AW15" s="48"/>
      <c r="AX15" s="48"/>
      <c r="AY15" s="48"/>
      <c r="AZ15" s="48"/>
      <c r="BA15" s="48"/>
      <c r="BB15" s="48"/>
      <c r="BC15" s="48"/>
      <c r="BD15" s="48"/>
      <c r="BE15" s="48"/>
      <c r="BF15" s="48"/>
      <c r="BG15" s="48"/>
      <c r="BH15" s="48"/>
      <c r="BI15" s="48"/>
      <c r="BJ15" s="48"/>
      <c r="BK15" s="48"/>
      <c r="BL15" s="48"/>
    </row>
    <row r="16" spans="1:64" s="42" customFormat="1" ht="30" customHeight="1" x14ac:dyDescent="0.3">
      <c r="A16" s="10"/>
      <c r="B16" s="63" t="s">
        <v>25</v>
      </c>
      <c r="C16" s="64" t="s">
        <v>15</v>
      </c>
      <c r="D16" s="65">
        <v>0</v>
      </c>
      <c r="E16" s="66">
        <v>46120</v>
      </c>
      <c r="F16" s="66">
        <v>46124</v>
      </c>
      <c r="G16" s="47"/>
      <c r="H16" s="40"/>
      <c r="I16" s="48"/>
      <c r="J16" s="48"/>
      <c r="K16" s="48"/>
      <c r="L16" s="48"/>
      <c r="M16" s="48"/>
      <c r="N16" s="48"/>
      <c r="O16" s="48"/>
      <c r="P16" s="48"/>
      <c r="Q16" s="48"/>
      <c r="R16" s="48"/>
      <c r="S16" s="48"/>
      <c r="T16" s="48"/>
      <c r="U16" s="53"/>
      <c r="V16" s="53"/>
      <c r="W16" s="48"/>
      <c r="X16" s="48"/>
      <c r="Y16" s="48"/>
      <c r="Z16" s="48"/>
      <c r="AA16" s="48"/>
      <c r="AB16" s="48"/>
      <c r="AC16" s="48"/>
      <c r="AD16" s="48"/>
      <c r="AE16" s="48"/>
      <c r="AF16" s="48"/>
      <c r="AG16" s="48"/>
      <c r="AH16" s="48"/>
      <c r="AI16" s="48"/>
      <c r="AJ16" s="48"/>
      <c r="AK16" s="48"/>
      <c r="AL16" s="48"/>
      <c r="AM16" s="48"/>
      <c r="AN16" s="48"/>
      <c r="AO16" s="48"/>
      <c r="AP16" s="48"/>
      <c r="AQ16" s="48"/>
      <c r="AR16" s="48"/>
      <c r="AS16" s="48"/>
      <c r="AT16" s="48"/>
      <c r="AU16" s="48"/>
      <c r="AV16" s="48"/>
      <c r="AW16" s="48"/>
      <c r="AX16" s="48"/>
      <c r="AY16" s="48"/>
      <c r="AZ16" s="48"/>
      <c r="BA16" s="48"/>
      <c r="BB16" s="48"/>
      <c r="BC16" s="48"/>
      <c r="BD16" s="48"/>
      <c r="BE16" s="48"/>
      <c r="BF16" s="48"/>
      <c r="BG16" s="48"/>
      <c r="BH16" s="48"/>
      <c r="BI16" s="48"/>
      <c r="BJ16" s="48"/>
      <c r="BK16" s="48"/>
      <c r="BL16" s="48"/>
    </row>
    <row r="17" spans="1:64" s="42" customFormat="1" ht="30" customHeight="1" x14ac:dyDescent="0.3">
      <c r="A17" s="10"/>
      <c r="B17" s="63" t="s">
        <v>26</v>
      </c>
      <c r="C17" s="64" t="s">
        <v>15</v>
      </c>
      <c r="D17" s="65">
        <v>0</v>
      </c>
      <c r="E17" s="66">
        <v>46122</v>
      </c>
      <c r="F17" s="66">
        <v>46125</v>
      </c>
      <c r="G17" s="47"/>
      <c r="H17" s="40"/>
      <c r="I17" s="48"/>
      <c r="J17" s="48"/>
      <c r="K17" s="48"/>
      <c r="L17" s="48"/>
      <c r="M17" s="48"/>
      <c r="N17" s="48"/>
      <c r="O17" s="48"/>
      <c r="P17" s="48"/>
      <c r="Q17" s="48"/>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8"/>
      <c r="BI17" s="48"/>
      <c r="BJ17" s="48"/>
      <c r="BK17" s="48"/>
      <c r="BL17" s="48"/>
    </row>
    <row r="18" spans="1:64" s="42" customFormat="1" ht="30" customHeight="1" x14ac:dyDescent="0.3">
      <c r="A18" s="10"/>
      <c r="B18" s="67" t="s">
        <v>27</v>
      </c>
      <c r="C18" s="68"/>
      <c r="D18" s="69"/>
      <c r="E18" s="70"/>
      <c r="F18" s="70"/>
      <c r="G18" s="39"/>
      <c r="H18" s="40"/>
      <c r="I18" s="48"/>
      <c r="J18" s="48"/>
      <c r="K18" s="48"/>
      <c r="L18" s="48"/>
      <c r="M18" s="48"/>
      <c r="N18" s="48"/>
      <c r="O18" s="48"/>
      <c r="P18" s="48"/>
      <c r="Q18" s="48"/>
      <c r="R18" s="48"/>
      <c r="S18" s="48"/>
      <c r="T18" s="48"/>
      <c r="U18" s="48"/>
      <c r="V18" s="48"/>
      <c r="W18" s="48"/>
      <c r="X18" s="48"/>
      <c r="Y18" s="53"/>
      <c r="Z18" s="48"/>
      <c r="AA18" s="48"/>
      <c r="AB18" s="48"/>
      <c r="AC18" s="48"/>
      <c r="AD18" s="48"/>
      <c r="AE18" s="48"/>
      <c r="AF18" s="48"/>
      <c r="AG18" s="48"/>
      <c r="AH18" s="48"/>
      <c r="AI18" s="48"/>
      <c r="AJ18" s="48"/>
      <c r="AK18" s="48"/>
      <c r="AL18" s="48"/>
      <c r="AM18" s="48"/>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row>
    <row r="19" spans="1:64" s="42" customFormat="1" ht="30" customHeight="1" x14ac:dyDescent="0.3">
      <c r="A19" s="10"/>
      <c r="B19" s="63" t="s">
        <v>28</v>
      </c>
      <c r="C19" s="64" t="s">
        <v>15</v>
      </c>
      <c r="D19" s="65">
        <v>0</v>
      </c>
      <c r="E19" s="66">
        <v>46122</v>
      </c>
      <c r="F19" s="66">
        <v>46126</v>
      </c>
      <c r="G19" s="47"/>
      <c r="H19" s="40"/>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c r="AP19" s="48"/>
      <c r="AQ19" s="48"/>
      <c r="AR19" s="48"/>
      <c r="AS19" s="48"/>
      <c r="AT19" s="48"/>
      <c r="AU19" s="48"/>
      <c r="AV19" s="48"/>
      <c r="AW19" s="48"/>
      <c r="AX19" s="48"/>
      <c r="AY19" s="48"/>
      <c r="AZ19" s="48"/>
      <c r="BA19" s="48"/>
      <c r="BB19" s="48"/>
      <c r="BC19" s="48"/>
      <c r="BD19" s="48"/>
      <c r="BE19" s="48"/>
      <c r="BF19" s="48"/>
      <c r="BG19" s="48"/>
      <c r="BH19" s="48"/>
      <c r="BI19" s="48"/>
      <c r="BJ19" s="48"/>
      <c r="BK19" s="48"/>
      <c r="BL19" s="48"/>
    </row>
    <row r="20" spans="1:64" s="42" customFormat="1" ht="30" customHeight="1" x14ac:dyDescent="0.3">
      <c r="A20" s="10"/>
      <c r="B20" s="71" t="s">
        <v>29</v>
      </c>
      <c r="C20" s="72" t="s">
        <v>15</v>
      </c>
      <c r="D20" s="73">
        <v>0</v>
      </c>
      <c r="E20" s="74">
        <v>46124</v>
      </c>
      <c r="F20" s="75">
        <v>46128</v>
      </c>
      <c r="G20" s="47"/>
      <c r="H20" s="40"/>
      <c r="I20" s="76"/>
      <c r="J20" s="76"/>
      <c r="K20" s="76"/>
      <c r="L20" s="76"/>
      <c r="M20" s="76"/>
      <c r="N20" s="76"/>
      <c r="O20" s="76"/>
      <c r="P20" s="76"/>
      <c r="Q20" s="76"/>
      <c r="R20" s="76"/>
      <c r="S20" s="76"/>
      <c r="T20" s="76"/>
      <c r="U20" s="76"/>
      <c r="V20" s="76"/>
      <c r="W20" s="76"/>
      <c r="X20" s="76"/>
      <c r="Y20" s="76"/>
      <c r="Z20" s="76"/>
      <c r="AA20" s="76"/>
      <c r="AB20" s="76"/>
      <c r="AC20" s="76"/>
      <c r="AD20" s="76"/>
      <c r="AE20" s="76"/>
      <c r="AF20" s="76"/>
      <c r="AG20" s="76"/>
      <c r="AH20" s="76"/>
      <c r="AI20" s="76"/>
      <c r="AJ20" s="76"/>
      <c r="AK20" s="76"/>
      <c r="AL20" s="76"/>
      <c r="AM20" s="76"/>
      <c r="AN20" s="76"/>
      <c r="AO20" s="76"/>
      <c r="AP20" s="76"/>
      <c r="AQ20" s="76"/>
      <c r="AR20" s="76"/>
      <c r="AS20" s="76"/>
      <c r="AT20" s="76"/>
      <c r="AU20" s="76"/>
      <c r="AV20" s="76"/>
      <c r="AW20" s="76"/>
      <c r="AX20" s="76"/>
      <c r="AY20" s="76"/>
      <c r="AZ20" s="76"/>
      <c r="BA20" s="76"/>
      <c r="BB20" s="76"/>
      <c r="BC20" s="76"/>
      <c r="BD20" s="76"/>
      <c r="BE20" s="76"/>
      <c r="BF20" s="76"/>
      <c r="BG20" s="76"/>
      <c r="BH20" s="76"/>
      <c r="BI20" s="76"/>
      <c r="BJ20" s="76"/>
      <c r="BK20" s="76"/>
      <c r="BL20" s="76"/>
    </row>
    <row r="21" spans="1:64" s="42" customFormat="1" ht="30" customHeight="1" x14ac:dyDescent="0.3">
      <c r="A21" s="10"/>
      <c r="B21" s="77" t="s">
        <v>30</v>
      </c>
      <c r="C21" s="78" t="s">
        <v>15</v>
      </c>
      <c r="D21" s="79">
        <v>0</v>
      </c>
      <c r="E21" s="80">
        <v>46125</v>
      </c>
      <c r="F21" s="80">
        <v>46129</v>
      </c>
      <c r="G21" s="47"/>
      <c r="H21" s="40"/>
      <c r="I21" s="48"/>
      <c r="J21" s="48"/>
      <c r="K21" s="48"/>
      <c r="L21" s="48"/>
      <c r="M21" s="48"/>
      <c r="N21" s="48"/>
      <c r="O21" s="48"/>
      <c r="P21" s="48"/>
      <c r="Q21" s="48"/>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c r="AP21" s="48"/>
      <c r="AQ21" s="48"/>
      <c r="AR21" s="48"/>
      <c r="AS21" s="48"/>
      <c r="AT21" s="48"/>
      <c r="AU21" s="48"/>
      <c r="AV21" s="48"/>
      <c r="AW21" s="48"/>
      <c r="AX21" s="48"/>
      <c r="AY21" s="48"/>
      <c r="AZ21" s="48"/>
      <c r="BA21" s="48"/>
      <c r="BB21" s="48"/>
      <c r="BC21" s="48"/>
      <c r="BD21" s="48"/>
      <c r="BE21" s="48"/>
      <c r="BF21" s="48"/>
      <c r="BG21" s="48"/>
      <c r="BH21" s="48"/>
      <c r="BI21" s="48"/>
      <c r="BJ21" s="48"/>
      <c r="BK21" s="48"/>
      <c r="BL21" s="48"/>
    </row>
    <row r="22" spans="1:64" s="42" customFormat="1" ht="30" customHeight="1" x14ac:dyDescent="0.3">
      <c r="A22" s="10"/>
      <c r="B22" s="77" t="s">
        <v>31</v>
      </c>
      <c r="C22" s="78" t="s">
        <v>15</v>
      </c>
      <c r="D22" s="79">
        <v>0</v>
      </c>
      <c r="E22" s="80">
        <v>46126</v>
      </c>
      <c r="F22" s="80">
        <v>46130</v>
      </c>
      <c r="G22" s="47"/>
      <c r="H22" s="40"/>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row>
    <row r="23" spans="1:64" s="42" customFormat="1" ht="30" customHeight="1" x14ac:dyDescent="0.3">
      <c r="A23" s="10"/>
      <c r="B23" s="77" t="s">
        <v>32</v>
      </c>
      <c r="C23" s="78" t="s">
        <v>15</v>
      </c>
      <c r="D23" s="79">
        <v>0</v>
      </c>
      <c r="E23" s="80">
        <v>46128</v>
      </c>
      <c r="F23" s="80">
        <v>46132</v>
      </c>
      <c r="G23" s="47"/>
      <c r="H23" s="40"/>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row>
    <row r="24" spans="1:64" s="42" customFormat="1" ht="30" customHeight="1" x14ac:dyDescent="0.3">
      <c r="A24" s="10"/>
      <c r="B24" s="81" t="s">
        <v>33</v>
      </c>
      <c r="C24" s="82"/>
      <c r="D24" s="83"/>
      <c r="E24" s="84"/>
      <c r="F24" s="84"/>
      <c r="G24" s="39"/>
      <c r="H24" s="40"/>
      <c r="I24" s="48"/>
      <c r="J24" s="48"/>
      <c r="K24" s="48"/>
      <c r="L24" s="48"/>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c r="AP24" s="48"/>
      <c r="AQ24" s="48"/>
      <c r="AR24" s="48"/>
      <c r="AS24" s="48"/>
      <c r="AT24" s="48"/>
      <c r="AU24" s="48"/>
      <c r="AV24" s="48"/>
      <c r="AW24" s="48"/>
      <c r="AX24" s="48"/>
      <c r="AY24" s="48"/>
      <c r="AZ24" s="48"/>
      <c r="BA24" s="48"/>
      <c r="BB24" s="48"/>
      <c r="BC24" s="48"/>
      <c r="BD24" s="48"/>
      <c r="BE24" s="48"/>
      <c r="BF24" s="48"/>
      <c r="BG24" s="48"/>
      <c r="BH24" s="48"/>
      <c r="BI24" s="48"/>
      <c r="BJ24" s="48"/>
      <c r="BK24" s="48"/>
      <c r="BL24" s="48"/>
    </row>
    <row r="25" spans="1:64" s="42" customFormat="1" ht="30" customHeight="1" x14ac:dyDescent="0.3">
      <c r="A25" s="10"/>
      <c r="B25" s="77" t="s">
        <v>34</v>
      </c>
      <c r="C25" s="78" t="s">
        <v>19</v>
      </c>
      <c r="D25" s="79">
        <v>0</v>
      </c>
      <c r="E25" s="80">
        <v>46117</v>
      </c>
      <c r="F25" s="80">
        <v>46124</v>
      </c>
      <c r="G25" s="47"/>
      <c r="H25" s="40"/>
      <c r="I25" s="48"/>
      <c r="J25" s="48"/>
      <c r="K25" s="48"/>
      <c r="L25" s="48"/>
      <c r="M25" s="48"/>
      <c r="N25" s="48"/>
      <c r="O25" s="48"/>
      <c r="P25" s="48"/>
      <c r="Q25" s="48"/>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c r="AP25" s="48"/>
      <c r="AQ25" s="48"/>
      <c r="AR25" s="48"/>
      <c r="AS25" s="48"/>
      <c r="AT25" s="48"/>
      <c r="AU25" s="48"/>
      <c r="AV25" s="48"/>
      <c r="AW25" s="48"/>
      <c r="AX25" s="48"/>
      <c r="AY25" s="48"/>
      <c r="AZ25" s="48"/>
      <c r="BA25" s="48"/>
      <c r="BB25" s="48"/>
      <c r="BC25" s="48"/>
      <c r="BD25" s="48"/>
      <c r="BE25" s="48"/>
      <c r="BF25" s="48"/>
      <c r="BG25" s="48"/>
      <c r="BH25" s="48"/>
      <c r="BI25" s="48"/>
      <c r="BJ25" s="48"/>
      <c r="BK25" s="48"/>
      <c r="BL25" s="48"/>
    </row>
    <row r="26" spans="1:64" s="42" customFormat="1" ht="30" customHeight="1" x14ac:dyDescent="0.3">
      <c r="A26" s="10"/>
      <c r="B26" s="85" t="s">
        <v>35</v>
      </c>
      <c r="C26" s="86" t="s">
        <v>19</v>
      </c>
      <c r="D26" s="87">
        <v>0</v>
      </c>
      <c r="E26" s="88">
        <v>46124</v>
      </c>
      <c r="F26" s="89">
        <v>46129</v>
      </c>
      <c r="G26" s="47"/>
      <c r="H26" s="40"/>
      <c r="I26" s="90"/>
      <c r="J26" s="90"/>
      <c r="K26" s="90"/>
      <c r="L26" s="90"/>
      <c r="M26" s="90"/>
      <c r="N26" s="90"/>
      <c r="O26" s="90"/>
      <c r="P26" s="90"/>
      <c r="Q26" s="90"/>
      <c r="R26" s="90"/>
      <c r="S26" s="90"/>
      <c r="T26" s="90"/>
      <c r="U26" s="90"/>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0"/>
      <c r="AU26" s="90"/>
      <c r="AV26" s="90"/>
      <c r="AW26" s="90"/>
      <c r="AX26" s="90"/>
      <c r="AY26" s="90"/>
      <c r="AZ26" s="90"/>
      <c r="BA26" s="90"/>
      <c r="BB26" s="90"/>
      <c r="BC26" s="90"/>
      <c r="BD26" s="90"/>
      <c r="BE26" s="90"/>
      <c r="BF26" s="90"/>
      <c r="BG26" s="90"/>
      <c r="BH26" s="90"/>
      <c r="BI26" s="90"/>
      <c r="BJ26" s="90"/>
      <c r="BK26" s="90"/>
      <c r="BL26" s="90"/>
    </row>
    <row r="27" spans="1:64" s="42" customFormat="1" ht="30" customHeight="1" x14ac:dyDescent="0.3">
      <c r="A27" s="10"/>
      <c r="B27" s="91" t="s">
        <v>36</v>
      </c>
      <c r="C27" s="92" t="s">
        <v>19</v>
      </c>
      <c r="D27" s="93">
        <v>0</v>
      </c>
      <c r="E27" s="94">
        <v>46128</v>
      </c>
      <c r="F27" s="94">
        <v>46132</v>
      </c>
      <c r="G27" s="47"/>
      <c r="H27" s="40"/>
      <c r="I27" s="48"/>
      <c r="J27" s="48"/>
      <c r="K27" s="48"/>
      <c r="L27" s="48"/>
      <c r="M27" s="48"/>
      <c r="N27" s="48"/>
      <c r="O27" s="48"/>
      <c r="P27" s="48"/>
      <c r="Q27" s="48"/>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c r="AP27" s="48"/>
      <c r="AQ27" s="48"/>
      <c r="AR27" s="48"/>
      <c r="AS27" s="48"/>
      <c r="AT27" s="48"/>
      <c r="AU27" s="48"/>
      <c r="AV27" s="48"/>
      <c r="AW27" s="48"/>
      <c r="AX27" s="48"/>
      <c r="AY27" s="48"/>
      <c r="AZ27" s="48"/>
      <c r="BA27" s="48"/>
      <c r="BB27" s="48"/>
      <c r="BC27" s="48"/>
      <c r="BD27" s="48"/>
      <c r="BE27" s="48"/>
      <c r="BF27" s="48"/>
      <c r="BG27" s="48"/>
      <c r="BH27" s="48"/>
      <c r="BI27" s="48"/>
      <c r="BJ27" s="48"/>
      <c r="BK27" s="48"/>
      <c r="BL27" s="48"/>
    </row>
    <row r="28" spans="1:64" s="42" customFormat="1" ht="30" customHeight="1" x14ac:dyDescent="0.3">
      <c r="A28" s="10"/>
      <c r="B28" s="91" t="s">
        <v>37</v>
      </c>
      <c r="C28" s="92" t="s">
        <v>23</v>
      </c>
      <c r="D28" s="93">
        <v>0</v>
      </c>
      <c r="E28" s="94">
        <v>46122</v>
      </c>
      <c r="F28" s="94">
        <v>46126</v>
      </c>
      <c r="G28" s="47"/>
      <c r="H28" s="40"/>
      <c r="I28" s="48"/>
      <c r="J28" s="48"/>
      <c r="K28" s="48"/>
      <c r="L28" s="48"/>
      <c r="M28" s="48"/>
      <c r="N28" s="48"/>
      <c r="O28" s="48"/>
      <c r="P28" s="48"/>
      <c r="Q28" s="48"/>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c r="AP28" s="48"/>
      <c r="AQ28" s="48"/>
      <c r="AR28" s="48"/>
      <c r="AS28" s="48"/>
      <c r="AT28" s="48"/>
      <c r="AU28" s="48"/>
      <c r="AV28" s="48"/>
      <c r="AW28" s="48"/>
      <c r="AX28" s="48"/>
      <c r="AY28" s="48"/>
      <c r="AZ28" s="48"/>
      <c r="BA28" s="48"/>
      <c r="BB28" s="48"/>
      <c r="BC28" s="48"/>
      <c r="BD28" s="48"/>
      <c r="BE28" s="48"/>
      <c r="BF28" s="48"/>
      <c r="BG28" s="48"/>
      <c r="BH28" s="48"/>
      <c r="BI28" s="48"/>
      <c r="BJ28" s="48"/>
      <c r="BK28" s="48"/>
      <c r="BL28" s="48"/>
    </row>
    <row r="29" spans="1:64" s="42" customFormat="1" ht="30" customHeight="1" x14ac:dyDescent="0.3">
      <c r="A29" s="10"/>
      <c r="B29" s="91" t="s">
        <v>38</v>
      </c>
      <c r="C29" s="92" t="s">
        <v>23</v>
      </c>
      <c r="D29" s="93">
        <v>0</v>
      </c>
      <c r="E29" s="94">
        <v>46116</v>
      </c>
      <c r="F29" s="94">
        <v>46119</v>
      </c>
      <c r="G29" s="47"/>
      <c r="H29" s="40"/>
      <c r="I29" s="48"/>
      <c r="J29" s="48"/>
      <c r="K29" s="48"/>
      <c r="L29" s="48"/>
      <c r="M29" s="48"/>
      <c r="N29" s="48"/>
      <c r="O29" s="48"/>
      <c r="P29" s="48"/>
      <c r="Q29" s="48"/>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48"/>
      <c r="BB29" s="48"/>
      <c r="BC29" s="48"/>
      <c r="BD29" s="48"/>
      <c r="BE29" s="48"/>
      <c r="BF29" s="48"/>
      <c r="BG29" s="48"/>
      <c r="BH29" s="48"/>
      <c r="BI29" s="48"/>
      <c r="BJ29" s="48"/>
      <c r="BK29" s="48"/>
      <c r="BL29" s="48"/>
    </row>
    <row r="30" spans="1:64" s="42" customFormat="1" ht="30" customHeight="1" x14ac:dyDescent="0.3">
      <c r="A30" s="10"/>
      <c r="B30" s="91" t="s">
        <v>39</v>
      </c>
      <c r="C30" s="92" t="s">
        <v>23</v>
      </c>
      <c r="D30" s="93">
        <v>0</v>
      </c>
      <c r="E30" s="94">
        <v>46127</v>
      </c>
      <c r="F30" s="94">
        <v>46131</v>
      </c>
      <c r="G30" s="47"/>
      <c r="H30" s="40"/>
      <c r="I30" s="48"/>
      <c r="J30" s="48"/>
      <c r="K30" s="48"/>
      <c r="L30" s="48"/>
      <c r="M30" s="48"/>
      <c r="N30" s="48"/>
      <c r="O30" s="48"/>
      <c r="P30" s="48"/>
      <c r="Q30" s="48"/>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8"/>
      <c r="BB30" s="48"/>
      <c r="BC30" s="48"/>
      <c r="BD30" s="48"/>
      <c r="BE30" s="48"/>
      <c r="BF30" s="48"/>
      <c r="BG30" s="48"/>
      <c r="BH30" s="48"/>
      <c r="BI30" s="48"/>
      <c r="BJ30" s="48"/>
      <c r="BK30" s="48"/>
      <c r="BL30" s="48"/>
    </row>
    <row r="31" spans="1:64" s="42" customFormat="1" ht="30" customHeight="1" x14ac:dyDescent="0.3">
      <c r="A31" s="10"/>
      <c r="B31" s="91" t="s">
        <v>40</v>
      </c>
      <c r="C31" s="92" t="s">
        <v>17</v>
      </c>
      <c r="D31" s="93">
        <v>0</v>
      </c>
      <c r="E31" s="94">
        <v>46132</v>
      </c>
      <c r="F31" s="94">
        <v>46133</v>
      </c>
      <c r="G31" s="47"/>
      <c r="H31" s="40"/>
      <c r="I31" s="48"/>
      <c r="J31" s="48"/>
      <c r="K31" s="48"/>
      <c r="L31" s="48"/>
      <c r="M31" s="48"/>
      <c r="N31" s="48"/>
      <c r="O31" s="48"/>
      <c r="P31" s="48"/>
      <c r="Q31" s="48"/>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c r="AP31" s="48"/>
      <c r="AQ31" s="48"/>
      <c r="AR31" s="48"/>
      <c r="AS31" s="48"/>
      <c r="AT31" s="48"/>
      <c r="AU31" s="48"/>
      <c r="AV31" s="48"/>
      <c r="AW31" s="48"/>
      <c r="AX31" s="48"/>
      <c r="AY31" s="48"/>
      <c r="AZ31" s="48"/>
      <c r="BA31" s="48"/>
      <c r="BB31" s="48"/>
      <c r="BC31" s="48"/>
      <c r="BD31" s="48"/>
      <c r="BE31" s="48"/>
      <c r="BF31" s="48"/>
      <c r="BG31" s="48"/>
      <c r="BH31" s="48"/>
      <c r="BI31" s="48"/>
      <c r="BJ31" s="48"/>
      <c r="BK31" s="48"/>
      <c r="BL31" s="48"/>
    </row>
    <row r="32" spans="1:64" s="42" customFormat="1" ht="30" customHeight="1" x14ac:dyDescent="0.3">
      <c r="A32" s="10"/>
      <c r="B32" s="95" t="s">
        <v>41</v>
      </c>
      <c r="C32" s="96"/>
      <c r="D32" s="97"/>
      <c r="E32" s="98"/>
      <c r="F32" s="98"/>
      <c r="G32" s="47"/>
      <c r="H32" s="40"/>
      <c r="I32" s="41"/>
      <c r="J32" s="41"/>
      <c r="K32" s="41"/>
      <c r="L32" s="41"/>
      <c r="M32" s="41"/>
      <c r="N32" s="41"/>
      <c r="O32" s="41"/>
      <c r="P32" s="41"/>
      <c r="Q32" s="41"/>
      <c r="R32" s="41"/>
      <c r="S32" s="41"/>
      <c r="T32" s="41"/>
      <c r="U32" s="41"/>
      <c r="V32" s="41"/>
      <c r="W32" s="41"/>
      <c r="X32" s="41"/>
      <c r="Y32" s="41"/>
      <c r="Z32" s="41"/>
      <c r="AA32" s="41"/>
      <c r="AB32" s="41"/>
      <c r="AC32" s="41"/>
      <c r="AD32" s="41"/>
      <c r="AE32" s="41"/>
      <c r="AF32" s="41"/>
      <c r="AG32" s="41"/>
      <c r="AH32" s="41"/>
      <c r="AI32" s="41"/>
      <c r="AJ32" s="41"/>
      <c r="AK32" s="41"/>
      <c r="AL32" s="41"/>
      <c r="AM32" s="41"/>
      <c r="AN32" s="41"/>
      <c r="AO32" s="41"/>
      <c r="AP32" s="41"/>
      <c r="AQ32" s="41"/>
      <c r="AR32" s="41"/>
      <c r="AS32" s="41"/>
      <c r="AT32" s="41"/>
      <c r="AU32" s="41"/>
      <c r="AV32" s="41"/>
      <c r="AW32" s="41"/>
      <c r="AX32" s="41"/>
      <c r="AY32" s="41"/>
      <c r="AZ32" s="41"/>
      <c r="BA32" s="41"/>
      <c r="BB32" s="41"/>
      <c r="BC32" s="41"/>
      <c r="BD32" s="41"/>
      <c r="BE32" s="41"/>
      <c r="BF32" s="41"/>
      <c r="BG32" s="41"/>
      <c r="BH32" s="41"/>
      <c r="BI32" s="41"/>
      <c r="BJ32" s="41"/>
      <c r="BK32" s="41"/>
      <c r="BL32" s="41"/>
    </row>
    <row r="33" spans="1:64" s="42" customFormat="1" ht="30" customHeight="1" x14ac:dyDescent="0.3">
      <c r="A33" s="12"/>
      <c r="B33" s="99"/>
      <c r="C33" s="100"/>
      <c r="D33" s="101"/>
      <c r="E33" s="102"/>
      <c r="F33" s="103"/>
      <c r="G33" s="47"/>
      <c r="H33" s="104"/>
      <c r="I33" s="105"/>
      <c r="J33" s="105"/>
      <c r="K33" s="105"/>
      <c r="L33" s="105"/>
      <c r="M33" s="105"/>
      <c r="N33" s="105"/>
      <c r="O33" s="105"/>
      <c r="P33" s="105"/>
      <c r="Q33" s="105"/>
      <c r="R33" s="105"/>
      <c r="S33" s="105"/>
      <c r="T33" s="105"/>
      <c r="U33" s="105"/>
      <c r="V33" s="105"/>
      <c r="W33" s="105"/>
      <c r="X33" s="105"/>
      <c r="Y33" s="105"/>
      <c r="Z33" s="105"/>
      <c r="AA33" s="105"/>
      <c r="AB33" s="105"/>
      <c r="AC33" s="105"/>
      <c r="AD33" s="105"/>
      <c r="AE33" s="105"/>
      <c r="AF33" s="105"/>
      <c r="AG33" s="105"/>
      <c r="AH33" s="105"/>
      <c r="AI33" s="105"/>
      <c r="AJ33" s="105"/>
      <c r="AK33" s="105"/>
      <c r="AL33" s="105"/>
      <c r="AM33" s="105"/>
      <c r="AN33" s="105"/>
      <c r="AO33" s="105"/>
      <c r="AP33" s="105"/>
      <c r="AQ33" s="105"/>
      <c r="AR33" s="105"/>
      <c r="AS33" s="105"/>
      <c r="AT33" s="105"/>
      <c r="AU33" s="105"/>
      <c r="AV33" s="105"/>
      <c r="AW33" s="105"/>
      <c r="AX33" s="105"/>
      <c r="AY33" s="105"/>
      <c r="AZ33" s="105"/>
      <c r="BA33" s="105"/>
      <c r="BB33" s="105"/>
      <c r="BC33" s="105"/>
      <c r="BD33" s="105"/>
      <c r="BE33" s="105"/>
      <c r="BF33" s="105"/>
      <c r="BG33" s="105"/>
      <c r="BH33" s="105"/>
      <c r="BI33" s="105"/>
      <c r="BJ33" s="105"/>
      <c r="BK33" s="105"/>
      <c r="BL33" s="105"/>
    </row>
    <row r="34" spans="1:64" ht="30" customHeight="1" x14ac:dyDescent="0.3">
      <c r="G34" s="106"/>
    </row>
    <row r="35" spans="1:64" ht="30" customHeight="1" x14ac:dyDescent="0.3">
      <c r="C35" s="107"/>
      <c r="F35" s="108"/>
    </row>
    <row r="36" spans="1:64" ht="30" customHeight="1" x14ac:dyDescent="0.3">
      <c r="C36" s="109"/>
    </row>
  </sheetData>
  <mergeCells count="18">
    <mergeCell ref="F5:F6"/>
    <mergeCell ref="A5:A6"/>
    <mergeCell ref="B5:B6"/>
    <mergeCell ref="C5:C6"/>
    <mergeCell ref="D5:D6"/>
    <mergeCell ref="E5:E6"/>
    <mergeCell ref="AD4:AJ4"/>
    <mergeCell ref="AK4:AQ4"/>
    <mergeCell ref="AR4:AX4"/>
    <mergeCell ref="AY4:BE4"/>
    <mergeCell ref="BF4:BL4"/>
    <mergeCell ref="I1:O1"/>
    <mergeCell ref="Q1:Z1"/>
    <mergeCell ref="I2:O2"/>
    <mergeCell ref="Q2:Z2"/>
    <mergeCell ref="I4:O4"/>
    <mergeCell ref="P4:V4"/>
    <mergeCell ref="W4:AC4"/>
  </mergeCells>
  <conditionalFormatting sqref="D7:D33">
    <cfRule type="dataBar" priority="9">
      <dataBar>
        <cfvo type="num" val="0"/>
        <cfvo type="num" val="1"/>
        <color rgb="FFFFFFFF"/>
      </dataBar>
      <extLst>
        <ext xmlns:x14="http://schemas.microsoft.com/office/spreadsheetml/2009/9/main" uri="{B025F937-C7B1-47D3-B67F-A62EFF666E3E}">
          <x14:id>{1EAFDF27-5049-44F2-AB2D-EFBEBBDEDA3B}</x14:id>
        </ext>
      </extLst>
    </cfRule>
  </conditionalFormatting>
  <conditionalFormatting sqref="I4:BL31">
    <cfRule type="expression" dxfId="8" priority="2">
      <formula>AND(TODAY()&gt;=I$5, TODAY()&lt;J$5)</formula>
    </cfRule>
  </conditionalFormatting>
  <conditionalFormatting sqref="I9:BL13">
    <cfRule type="expression" dxfId="7" priority="7">
      <formula>AND(task_start&lt;=I$5,ROUNDDOWN((task_end-task_start+1)*task_progress,0)+task_start-1&gt;=I$5)</formula>
    </cfRule>
    <cfRule type="expression" dxfId="6" priority="8">
      <formula>AND(task_end&gt;=I$5,task_start&lt;J$5)</formula>
    </cfRule>
  </conditionalFormatting>
  <conditionalFormatting sqref="I15:BL19">
    <cfRule type="expression" dxfId="5" priority="5">
      <formula>AND(task_start&lt;=I$5,ROUNDDOWN((task_end-task_start+1)*task_progress,0)+task_start-1&gt;=I$5)</formula>
    </cfRule>
    <cfRule type="expression" dxfId="4" priority="6">
      <formula>AND(task_end&gt;=I$5,task_start&lt;J$5)</formula>
    </cfRule>
  </conditionalFormatting>
  <conditionalFormatting sqref="I21:BL25">
    <cfRule type="expression" dxfId="3" priority="3">
      <formula>AND(task_start&lt;=I$5,ROUNDDOWN((task_end-task_start+1)*task_progress,0)+task_start-1&gt;=I$5)</formula>
    </cfRule>
    <cfRule type="expression" dxfId="2" priority="4">
      <formula>AND(task_end&gt;=I$5,task_start&lt;J$5)</formula>
    </cfRule>
  </conditionalFormatting>
  <conditionalFormatting sqref="I27:BL31">
    <cfRule type="expression" dxfId="1" priority="10">
      <formula>AND(task_start&lt;=I$5,ROUNDDOWN((task_end-task_start+1)*task_progress,0)+task_start-1&gt;=I$5)</formula>
    </cfRule>
    <cfRule type="expression" dxfId="0" priority="1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formula2>0</formula2>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00000000-0002-0000-0000-000001000000}">
      <formula1>0</formula1>
      <formula2>0</formula2>
    </dataValidation>
    <dataValidation allowBlank="1" showInputMessage="1" showErrorMessage="1" prompt="Enter Company name in cel B2." sqref="A2" xr:uid="{00000000-0002-0000-0000-000002000000}">
      <formula1>0</formula1>
      <formula2>0</formula2>
    </dataValidation>
    <dataValidation allowBlank="1" showInputMessage="1" showErrorMessage="1" prompt="Enter the name of the Project Lead in cell C3. Enter the Project Start date in cell Q1. Project Start: label is in cell I1." sqref="A3" xr:uid="{00000000-0002-0000-0000-000003000000}">
      <formula1>0</formula1>
      <formula2>0</formula2>
    </dataValidation>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00000000-0002-0000-0000-000004000000}">
      <formula1>0</formula1>
      <formula2>0</formula2>
    </dataValidation>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00000000-0002-0000-0000-000005000000}">
      <formula1>0</formula1>
      <formula2>0</formula2>
    </dataValidation>
    <dataValidation allowBlank="1" showInputMessage="1" showErrorMessage="1" prompt="Cell B8 contains the Phase 1 sample title. Enter a new title in cell B8._x000a_To delete the phase and work only from tasks, simply delete this row." sqref="A8" xr:uid="{00000000-0002-0000-0000-000006000000}">
      <formula1>0</formula1>
      <formula2>0</formula2>
    </dataValidation>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00000000-0002-0000-0000-000007000000}">
      <formula1>0</formula1>
      <formula2>0</formula2>
    </dataValidation>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00000000-0002-0000-0000-000008000000}">
      <formula1>0</formula1>
      <formula2>0</formula2>
    </dataValidation>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00000000-0002-0000-0000-000009000000}">
      <formula1>0</formula1>
      <formula2>0</formula2>
    </dataValidation>
    <dataValidation allowBlank="1" showInputMessage="1" showErrorMessage="1" prompt="Phase 3's sample block starts in cell B20." sqref="A20" xr:uid="{00000000-0002-0000-0000-00000A000000}">
      <formula1>0</formula1>
      <formula2>0</formula2>
    </dataValidation>
    <dataValidation allowBlank="1" showInputMessage="1" showErrorMessage="1" prompt="Phase 4's sample block starts in cell B26." sqref="A26" xr:uid="{00000000-0002-0000-0000-00000B000000}">
      <formula1>0</formula1>
      <formula2>0</formula2>
    </dataValidation>
    <dataValidation allowBlank="1" showInputMessage="1" showErrorMessage="1" prompt="This row marks the end of the Project Schedule. DO NOT enter anything in this row. _x000a_Insert new rows ABOVE this one to continue building out your Project Schedule." sqref="A33" xr:uid="{00000000-0002-0000-0000-00000C000000}">
      <formula1>0</formula1>
      <formula2>0</formula2>
    </dataValidation>
  </dataValidations>
  <hyperlinks>
    <hyperlink ref="B3" r:id="rId1" xr:uid="{00000000-0004-0000-0000-000000000000}"/>
    <hyperlink ref="B4" r:id="rId2" xr:uid="{00000000-0004-0000-0000-000001000000}"/>
  </hyperlinks>
  <printOptions horizontalCentered="1"/>
  <pageMargins left="0.35" right="0.35" top="0.35" bottom="0.34722222222222199" header="0.511811023622047" footer="0.3"/>
  <pageSetup fitToHeight="0" orientation="landscape" horizontalDpi="300" verticalDpi="300"/>
  <headerFooter differentFirst="1"/>
  <extLst>
    <ext xmlns:x14="http://schemas.microsoft.com/office/spreadsheetml/2009/9/main" uri="{78C0D931-6437-407d-A8EE-F0AAD7539E65}">
      <x14:conditionalFormattings>
        <x14:conditionalFormatting xmlns:xm="http://schemas.microsoft.com/office/excel/2006/main">
          <x14:cfRule type="dataBar" id="{1EAFDF27-5049-44F2-AB2D-EFBEBBDEDA3B}">
            <x14:dataBar axisPosition="none">
              <x14:cfvo type="num">
                <xm:f>0</xm:f>
              </x14:cfvo>
              <x14:cfvo type="num">
                <xm:f>1</xm:f>
              </x14:cfvo>
              <x14:negativeFillColor rgb="FFFFFFFF"/>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2.5" x14ac:dyDescent="0.25"/>
  <cols>
    <col min="1" max="1" width="87" style="110" customWidth="1"/>
    <col min="2" max="16384" width="9" style="15"/>
  </cols>
  <sheetData>
    <row r="1" spans="1:2" ht="46.5" customHeight="1" x14ac:dyDescent="0.25"/>
    <row r="2" spans="1:2" s="113" customFormat="1" ht="15" customHeight="1" x14ac:dyDescent="0.3">
      <c r="A2" s="111" t="s">
        <v>5</v>
      </c>
      <c r="B2" s="112"/>
    </row>
    <row r="3" spans="1:2" s="116" customFormat="1" ht="27" customHeight="1" x14ac:dyDescent="0.3">
      <c r="A3" s="114"/>
      <c r="B3" s="115"/>
    </row>
    <row r="4" spans="1:2" s="118" customFormat="1" ht="30" customHeight="1" x14ac:dyDescent="0.85">
      <c r="A4" s="117" t="s">
        <v>42</v>
      </c>
    </row>
    <row r="5" spans="1:2" ht="74.25" customHeight="1" x14ac:dyDescent="0.25">
      <c r="A5" s="119" t="s">
        <v>43</v>
      </c>
    </row>
    <row r="6" spans="1:2" ht="26.25" customHeight="1" x14ac:dyDescent="0.25">
      <c r="A6" s="117" t="s">
        <v>44</v>
      </c>
    </row>
    <row r="7" spans="1:2" s="110" customFormat="1" ht="204.75" customHeight="1" x14ac:dyDescent="0.3">
      <c r="A7" s="120" t="s">
        <v>45</v>
      </c>
    </row>
    <row r="8" spans="1:2" s="118" customFormat="1" ht="30" customHeight="1" x14ac:dyDescent="0.85">
      <c r="A8" s="117" t="s">
        <v>46</v>
      </c>
    </row>
    <row r="9" spans="1:2" ht="42" customHeight="1" x14ac:dyDescent="0.25">
      <c r="A9" s="119" t="s">
        <v>47</v>
      </c>
    </row>
    <row r="10" spans="1:2" s="110" customFormat="1" ht="27.75" customHeight="1" x14ac:dyDescent="0.3">
      <c r="A10" s="121" t="s">
        <v>48</v>
      </c>
    </row>
    <row r="11" spans="1:2" s="118" customFormat="1" ht="30" customHeight="1" x14ac:dyDescent="0.85">
      <c r="A11" s="117" t="s">
        <v>49</v>
      </c>
    </row>
    <row r="12" spans="1:2" ht="27.75" customHeight="1" x14ac:dyDescent="0.25">
      <c r="A12" s="119" t="s">
        <v>50</v>
      </c>
    </row>
    <row r="13" spans="1:2" s="110" customFormat="1" ht="27.75" customHeight="1" x14ac:dyDescent="0.3">
      <c r="A13" s="121" t="s">
        <v>51</v>
      </c>
    </row>
    <row r="14" spans="1:2" s="118" customFormat="1" ht="30" customHeight="1" x14ac:dyDescent="0.85">
      <c r="A14" s="117" t="s">
        <v>52</v>
      </c>
    </row>
    <row r="15" spans="1:2" ht="75" customHeight="1" x14ac:dyDescent="0.25">
      <c r="A15" s="119" t="s">
        <v>53</v>
      </c>
    </row>
    <row r="16" spans="1:2" ht="69.75" customHeight="1" x14ac:dyDescent="0.25">
      <c r="A16" s="119" t="s">
        <v>54</v>
      </c>
    </row>
    <row r="17" spans="1:1" x14ac:dyDescent="0.25">
      <c r="A17" s="122"/>
    </row>
    <row r="18" spans="1:1" x14ac:dyDescent="0.25">
      <c r="A18" s="122"/>
    </row>
    <row r="19" spans="1:1" x14ac:dyDescent="0.25">
      <c r="A19" s="122"/>
    </row>
    <row r="20" spans="1:1" x14ac:dyDescent="0.25">
      <c r="A20" s="122"/>
    </row>
    <row r="21" spans="1:1" x14ac:dyDescent="0.25">
      <c r="A21" s="122"/>
    </row>
    <row r="22" spans="1:1" x14ac:dyDescent="0.25">
      <c r="A22" s="122"/>
    </row>
    <row r="23" spans="1:1" x14ac:dyDescent="0.25">
      <c r="A23" s="122"/>
    </row>
    <row r="24" spans="1:1" x14ac:dyDescent="0.25">
      <c r="A24" s="122"/>
    </row>
  </sheetData>
  <hyperlinks>
    <hyperlink ref="A2" r:id="rId1" xr:uid="{00000000-0004-0000-0100-000000000000}"/>
    <hyperlink ref="A10" r:id="rId2" xr:uid="{00000000-0004-0000-0100-000001000000}"/>
    <hyperlink ref="A13" r:id="rId3" xr:uid="{00000000-0004-0000-0100-000002000000}"/>
  </hyperlinks>
  <pageMargins left="0.5" right="0.5" top="0.5" bottom="0.5" header="0.511811023622047" footer="0.511811023622047"/>
  <pageSetup orientation="portrait" horizontalDpi="300" verticalDpi="300"/>
  <drawing r:id="rId4"/>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Kaycie Lane</dc:creator>
  <dc:description/>
  <cp:lastModifiedBy>Levi Woockman</cp:lastModifiedBy>
  <cp:revision>0</cp:revision>
  <dcterms:created xsi:type="dcterms:W3CDTF">2022-03-11T22:41:12Z</dcterms:created>
  <dcterms:modified xsi:type="dcterms:W3CDTF">2026-04-15T23:47:26Z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